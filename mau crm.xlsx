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externalLinks/_rels/externalLink1.xml.rels" ContentType="application/vnd.openxmlformats-package.relationships+xml"/>
  <Override PartName="/xl/externalLinks/_rels/externalLink2.xml.rels" ContentType="application/vnd.openxmlformats-package.relationships+xml"/>
  <Override PartName="/xl/externalLinks/_rels/externalLink3.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ĐƠN HÀNG" sheetId="1" state="visible" r:id="rId2"/>
    <sheet name="page 1 (2)" sheetId="2" state="hidden" r:id="rId3"/>
  </sheets>
  <externalReferences>
    <externalReference r:id="rId4"/>
    <externalReference r:id="rId5"/>
    <externalReference r:id="rId6"/>
  </externalReferences>
  <definedNames>
    <definedName function="false" hidden="false" name="CT_NX" vbProcedure="false">[1]Nhập_xuất!$B$6:$B$101</definedName>
    <definedName function="false" hidden="false" name="DC" vbProcedure="false">[1]Main!$A$2</definedName>
    <definedName function="false" hidden="false" name="HD" vbProcedure="false">#REF!</definedName>
    <definedName function="false" hidden="false" name="HDM" vbProcedure="false">#REF!</definedName>
    <definedName function="false" hidden="false" name="HTTT" vbProcedure="false">'[2]NHAP LIEU'!$W$2:$W$4</definedName>
    <definedName function="false" hidden="false" name="KH" vbProcedure="false">'[2]TÊN KH'!$B$3:$B$69</definedName>
    <definedName function="false" hidden="false" name="MAN_152" vbProcedure="false">[1]Nhập_xuất!$S$6:$S$101</definedName>
    <definedName function="false" hidden="false" name="MAU_HD" vbProcedure="false">#REF!</definedName>
    <definedName function="false" hidden="false" name="MAVT" vbProcedure="false">[1]NVL!$B$10:$C$100</definedName>
    <definedName function="false" hidden="false" name="MAVT_152" vbProcedure="false">#REF!</definedName>
    <definedName function="false" hidden="false" name="MAX_152" vbProcedure="false">[1]Nhập_xuất!$T$6:$T$101</definedName>
    <definedName function="false" hidden="false" name="MA_CT152" vbProcedure="false">#REF!</definedName>
    <definedName function="false" hidden="false" name="MA_HANG" vbProcedure="false">'[2]Ma hang'!$B$3:$B$30</definedName>
    <definedName function="false" hidden="false" name="MA_HH152" vbProcedure="false">'[2]NHAP LIEU'!$L$7:$L$250</definedName>
    <definedName function="false" hidden="false" name="MA_NX" vbProcedure="false">[3]Nhập_xuất!$B$6:$B$101</definedName>
    <definedName function="false" hidden="false" name="MA_VT" vbProcedure="false">#REF!</definedName>
    <definedName function="false" hidden="false" name="MH" vbProcedure="false">'[2]Ma hang'!$B$3:$E$30</definedName>
    <definedName function="false" hidden="false" name="NHAP" vbProcedure="false">'[2]NHAP LIEU'!$D$7:$V$250</definedName>
    <definedName function="false" hidden="false" name="NHAP_XT" vbProcedure="false">#REF!</definedName>
    <definedName function="false" hidden="false" name="NX" vbProcedure="false">[1]Nhập_xuất!$B$6:$AD$101</definedName>
    <definedName function="false" hidden="false" name="NXT" vbProcedure="false">[1]NVL!$B$10:$P$100</definedName>
    <definedName function="false" hidden="false" name="NXT_152" vbProcedure="false">#REF!</definedName>
    <definedName function="false" hidden="false" name="PHIEU_NX" vbProcedure="false">'[2]NHAP LIEU'!$D$7:$D$250</definedName>
    <definedName function="false" hidden="false" name="SL_152" vbProcedure="false">[1]Nhập_xuất!$P$6:$P$101</definedName>
    <definedName function="false" hidden="false" name="TEN" vbProcedure="false">'[2]TÊN KH'!$B$3:$L$69</definedName>
    <definedName function="false" hidden="false" name="TEN_NPL" vbProcedure="false">#REF!</definedName>
    <definedName function="false" hidden="false" name="TEN_TK152" vbProcedure="false">#REF!</definedName>
    <definedName function="false" hidden="false" name="TEN_VT" vbProcedure="false">#REF!</definedName>
    <definedName function="false" hidden="false" name="TH_152" vbProcedure="false">[1]NVL!$B$10:$M$100</definedName>
    <definedName function="false" hidden="false" name="TK" vbProcedure="false">#REF!</definedName>
    <definedName function="false" hidden="false" name="TKNVL" vbProcedure="false">[1]Main!$P$3:$P$7</definedName>
    <definedName function="false" hidden="false" name="TT_152" vbProcedure="false">[1]Nhập_xuất!$R$6:$R$101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<sst xmlns="http://schemas.openxmlformats.org/spreadsheetml/2006/main" count="159" uniqueCount="99">
  <si>
    <t xml:space="preserve">ĐƠN HÀNG</t>
  </si>
  <si>
    <t xml:space="preserve">Khách hàng: &lt;khach_hang&gt;</t>
  </si>
  <si>
    <t xml:space="preserve">Ngày đặt hàng: &lt;ngay_dat_hang&gt;</t>
  </si>
  <si>
    <t xml:space="preserve">Mã số thuế: </t>
  </si>
  <si>
    <r>
      <rPr>
        <b val="true"/>
        <sz val="12"/>
        <color rgb="FF000000"/>
        <rFont val="Times New Roman"/>
        <family val="1"/>
        <charset val="1"/>
      </rPr>
      <t xml:space="preserve">Số đơn hàng: </t>
    </r>
    <r>
      <rPr>
        <b val="true"/>
        <sz val="12"/>
        <color rgb="FF000000"/>
        <rFont val="Times New Roman"/>
        <family val="1"/>
      </rPr>
      <t xml:space="preserve">&lt;so_don_hang&gt;</t>
    </r>
  </si>
  <si>
    <t xml:space="preserve">Địa chỉ hóa đơn: </t>
  </si>
  <si>
    <t xml:space="preserve">Người nhận hàng: </t>
  </si>
  <si>
    <t xml:space="preserve">SĐT người nhận: </t>
  </si>
  <si>
    <t xml:space="preserve">Địa chỉ giao hàng: </t>
  </si>
  <si>
    <t xml:space="preserve">Lời đầu tiên, xin trân trọng cảm ơn quý khách hàng đã lựa chọn sản phẩm của công ty chúng tôi. Chúng tôi xin gửi đến quý khách hàng thông tin chi tiết của đơn hàng như sau:</t>
  </si>
  <si>
    <t xml:space="preserve">STT </t>
  </si>
  <si>
    <t xml:space="preserve">ẢNH SẢN PHẨM</t>
  </si>
  <si>
    <t xml:space="preserve">TÊN SẢN PHẨM</t>
  </si>
  <si>
    <t xml:space="preserve">ĐVT    </t>
  </si>
  <si>
    <t xml:space="preserve">SL</t>
  </si>
  <si>
    <t xml:space="preserve">ĐƠN GIÁ</t>
  </si>
  <si>
    <t xml:space="preserve">THÀNH TIỀN </t>
  </si>
  <si>
    <t xml:space="preserve">Tổng thành tiền:</t>
  </si>
  <si>
    <t xml:space="preserve">Tiền chiết khấu:</t>
  </si>
  <si>
    <t xml:space="preserve">Thuế GTGT:</t>
  </si>
  <si>
    <t xml:space="preserve">Tổng tiền thanh toán:</t>
  </si>
  <si>
    <t xml:space="preserve">Số tiền viết bằng chữ: Một trăm ba mươi ba nghìn đồng</t>
  </si>
  <si>
    <t xml:space="preserve">Người bán</t>
  </si>
  <si>
    <t xml:space="preserve">Giám đốc</t>
  </si>
  <si>
    <t xml:space="preserve">(Ký, họ tên)</t>
  </si>
  <si>
    <t xml:space="preserve">(Ký, họ tên, đóng dấu)</t>
  </si>
  <si>
    <t xml:space="preserve">               CÔNG TY TNHH TM SẮT THÉP TRUNG TÍN KIM
         ĐC: 105,TA16,P.THỚI AN,QUẬN 12,TP.HCM
  ĐT:08.66841294      Fax :083.5978798
 MST: 0311620711</t>
  </si>
  <si>
    <t xml:space="preserve">BẢNG BÁO GIÁ-QUOTATION(DSVN-THN150702-002)</t>
  </si>
  <si>
    <t xml:space="preserve">To:</t>
  </si>
  <si>
    <t xml:space="preserve">DOOSAN VINA</t>
  </si>
  <si>
    <t xml:space="preserve">From:</t>
  </si>
  <si>
    <t xml:space="preserve">TRUNG TIN KIM STEEL ltd.CO</t>
  </si>
  <si>
    <t xml:space="preserve">Attn:</t>
  </si>
  <si>
    <t xml:space="preserve">Ms.Quynh</t>
  </si>
  <si>
    <t xml:space="preserve">Post:</t>
  </si>
  <si>
    <t xml:space="preserve">Vy Tiến Toàn/Sales Manager</t>
  </si>
  <si>
    <t xml:space="preserve">Cell phone:</t>
  </si>
  <si>
    <t xml:space="preserve">0917318354/0909318354</t>
  </si>
  <si>
    <t xml:space="preserve">Email:</t>
  </si>
  <si>
    <t xml:space="preserve">master.trungtinkimsteel@gmail.com</t>
  </si>
  <si>
    <t xml:space="preserve">Add:</t>
  </si>
  <si>
    <t xml:space="preserve">KCN DUNG QUẤT</t>
  </si>
  <si>
    <t xml:space="preserve">105TA 16,P.THỚI AN,QUẬN 12,TP.HCM</t>
  </si>
  <si>
    <t xml:space="preserve">Tel/Fax</t>
  </si>
  <si>
    <t xml:space="preserve">08.66841294</t>
  </si>
  <si>
    <t xml:space="preserve">Website:</t>
  </si>
  <si>
    <t xml:space="preserve">trungtinkimsteel.com.vn</t>
  </si>
  <si>
    <t xml:space="preserve">Công ty Thép Trung Tín Kim chuyên cung cấp, gia công các loại thép lá cán nguội, cán nóng dạng cuộn hoặc tấm (Cold rolled in sheet/coil, Hot rolled in sheet/coil), thép mạ điện (GA, GI), thép hình.Thép V(angel V),thép ống đen, kẽm, ống đúc Chúng tôi nhận gia công cắt tấm (cut-to-length), xả băng (slitt).</t>
  </si>
  <si>
    <t xml:space="preserve">STT</t>
  </si>
  <si>
    <t xml:space="preserve">Tên sản phẩm</t>
  </si>
  <si>
    <t xml:space="preserve">Quy Cách</t>
  </si>
  <si>
    <t xml:space="preserve">Chủng loại</t>
  </si>
  <si>
    <t xml:space="preserve">DVT</t>
  </si>
  <si>
    <t xml:space="preserve">Khối lượng</t>
  </si>
  <si>
    <t xml:space="preserve">Đơn giá</t>
  </si>
  <si>
    <t xml:space="preserve">Thành tiền</t>
  </si>
  <si>
    <t xml:space="preserve">Ghi chú</t>
  </si>
  <si>
    <t xml:space="preserve">Angle SS400</t>
  </si>
  <si>
    <t xml:space="preserve">L75x75x6-12m</t>
  </si>
  <si>
    <t xml:space="preserve">Chinal mill maker</t>
  </si>
  <si>
    <t xml:space="preserve">kg</t>
  </si>
  <si>
    <t xml:space="preserve">1 pc</t>
  </si>
  <si>
    <t xml:space="preserve">L75x75x9-12m</t>
  </si>
  <si>
    <t xml:space="preserve">66 pc</t>
  </si>
  <si>
    <t xml:space="preserve">L90x90x7-12m</t>
  </si>
  <si>
    <t xml:space="preserve">36 pc</t>
  </si>
  <si>
    <t xml:space="preserve">L100x100x7-12m</t>
  </si>
  <si>
    <t xml:space="preserve">46 pc</t>
  </si>
  <si>
    <t xml:space="preserve">L100x100x10-12m</t>
  </si>
  <si>
    <t xml:space="preserve">3 pc</t>
  </si>
  <si>
    <t xml:space="preserve">L130x130x9-12m</t>
  </si>
  <si>
    <t xml:space="preserve">24 pc</t>
  </si>
  <si>
    <t xml:space="preserve">15 pc</t>
  </si>
  <si>
    <t xml:space="preserve">H-beam SS400</t>
  </si>
  <si>
    <t xml:space="preserve">H250x125x6x9-12m</t>
  </si>
  <si>
    <t xml:space="preserve">18 pc</t>
  </si>
  <si>
    <t xml:space="preserve">H300x300x10x15-12m</t>
  </si>
  <si>
    <t xml:space="preserve">Plate SS400</t>
  </si>
  <si>
    <t xml:space="preserve">PL9x2000x6000</t>
  </si>
  <si>
    <t xml:space="preserve">PL15x2000x6000</t>
  </si>
  <si>
    <t xml:space="preserve">PL20x2000x6000</t>
  </si>
  <si>
    <t xml:space="preserve">PL25x2000x6000</t>
  </si>
  <si>
    <t xml:space="preserve">PL6x1500x6000</t>
  </si>
  <si>
    <t xml:space="preserve">5 pc</t>
  </si>
  <si>
    <t xml:space="preserve">Checkered Plate</t>
  </si>
  <si>
    <t xml:space="preserve">CK'PL6x1500x6000 
HDG ASTM A153</t>
  </si>
  <si>
    <t xml:space="preserve">14 pc</t>
  </si>
  <si>
    <t xml:space="preserve">TỔNG CỘNG</t>
  </si>
  <si>
    <t xml:space="preserve">Các điều khoản thương mại:</t>
  </si>
  <si>
    <t xml:space="preserve">Phương thức thanh toán: Thanh toán 100% giá trị lô hàng sau khi nhận hàng đúng 30 ngày.</t>
  </si>
  <si>
    <t xml:space="preserve">Báo giá có giá trị trong ngày 14/07/2015(khi có thay đổi sẽ thông báo bằng fax).</t>
  </si>
  <si>
    <t xml:space="preserve">Đơn giá chưa bao gồm thuế VAT và đã bao gồm phí vận chuyển.</t>
  </si>
  <si>
    <t xml:space="preserve">Thời gian giao hàng : Giao hàng sau 6 ngày ngay khi có PO</t>
  </si>
  <si>
    <t xml:space="preserve">Địa điểm nhận hàng: Tại kho bên DOOSAN VINA -KCN DUNG QUẤT.</t>
  </si>
  <si>
    <t xml:space="preserve">Vui lòng liên hệ Mr.Cương -0914579449 để biết thêm chi tiết</t>
  </si>
  <si>
    <t xml:space="preserve">Mọi liên lạc bằng email hay fax có giá trị như bản chính</t>
  </si>
  <si>
    <t xml:space="preserve">Thanh toán vào số TK 131763489-NH ACB -PGD MAXIMART CỘNG HÒA 2</t>
  </si>
  <si>
    <t xml:space="preserve">Xác nhận của bên mua</t>
  </si>
  <si>
    <t xml:space="preserve">Xác nhận của bên bán</t>
  </si>
</sst>
</file>

<file path=xl/styles.xml><?xml version="1.0" encoding="utf-8"?>
<styleSheet xmlns="http://schemas.openxmlformats.org/spreadsheetml/2006/main">
  <numFmts count="9">
    <numFmt numFmtId="164" formatCode="General"/>
    <numFmt numFmtId="165" formatCode="_(* #,##0.00_);_(* \(#,##0.00\);_(* \-??_);_(@_)"/>
    <numFmt numFmtId="166" formatCode="[$-409]D\-MMM\-YY;@"/>
    <numFmt numFmtId="167" formatCode="#,##0"/>
    <numFmt numFmtId="168" formatCode="#,##0.00"/>
    <numFmt numFmtId="169" formatCode="@"/>
    <numFmt numFmtId="170" formatCode="[$-409]General"/>
    <numFmt numFmtId="171" formatCode="_(* #,##0_);_(* \(#,##0\);_(* \-??_);_(@_)"/>
    <numFmt numFmtId="172" formatCode="0.00_);\(0.00\)"/>
  </numFmts>
  <fonts count="34">
    <font>
      <sz val="11"/>
      <color rgb="FF000000"/>
      <name val="Calibri"/>
      <family val="2"/>
      <charset val="204"/>
    </font>
    <font>
      <sz val="10"/>
      <name val="Arial"/>
      <family val="0"/>
    </font>
    <font>
      <sz val="10"/>
      <name val="Arial"/>
      <family val="0"/>
    </font>
    <font>
      <sz val="10"/>
      <name val="Arial"/>
      <family val="0"/>
    </font>
    <font>
      <u val="single"/>
      <sz val="11"/>
      <color rgb="FF0000FF"/>
      <name val="VNbook-Antiqua"/>
      <family val="0"/>
      <charset val="1"/>
    </font>
    <font>
      <sz val="10"/>
      <name val="Arial"/>
      <family val="0"/>
      <charset val="1"/>
    </font>
    <font>
      <sz val="11"/>
      <name val="바탕체"/>
      <family val="1"/>
      <charset val="129"/>
    </font>
    <font>
      <sz val="12"/>
      <color rgb="FF000000"/>
      <name val="Times New Roman"/>
      <family val="1"/>
      <charset val="1"/>
    </font>
    <font>
      <b val="true"/>
      <sz val="16"/>
      <name val="Times New Roman"/>
      <family val="1"/>
      <charset val="1"/>
    </font>
    <font>
      <b val="true"/>
      <sz val="12"/>
      <name val="Times New Roman"/>
      <family val="1"/>
      <charset val="1"/>
    </font>
    <font>
      <b val="true"/>
      <sz val="12"/>
      <color rgb="FF000000"/>
      <name val="Times New Roman"/>
      <family val="1"/>
      <charset val="1"/>
    </font>
    <font>
      <b val="true"/>
      <sz val="12"/>
      <color rgb="FF000000"/>
      <name val="Times New Roman"/>
      <family val="1"/>
    </font>
    <font>
      <sz val="12"/>
      <name val="Times New Roman"/>
      <family val="1"/>
      <charset val="1"/>
    </font>
    <font>
      <i val="true"/>
      <sz val="12"/>
      <name val="Times New Roman"/>
      <family val="1"/>
      <charset val="1"/>
    </font>
    <font>
      <sz val="12"/>
      <color rgb="FFFFFFFF"/>
      <name val="Times New Roman"/>
      <family val="1"/>
      <charset val="1"/>
    </font>
    <font>
      <b val="true"/>
      <i val="true"/>
      <sz val="12"/>
      <color rgb="FF000000"/>
      <name val="Times New Roman"/>
      <family val="1"/>
      <charset val="1"/>
    </font>
    <font>
      <i val="true"/>
      <sz val="12"/>
      <color rgb="FF000000"/>
      <name val="Times New Roman"/>
      <family val="1"/>
      <charset val="1"/>
    </font>
    <font>
      <sz val="9"/>
      <color rgb="FF000000"/>
      <name val="Calibri"/>
      <family val="2"/>
      <charset val="204"/>
    </font>
    <font>
      <sz val="10"/>
      <color rgb="FF000000"/>
      <name val="Calibri"/>
      <family val="2"/>
      <charset val="204"/>
    </font>
    <font>
      <b val="true"/>
      <sz val="9"/>
      <color rgb="FF000000"/>
      <name val="Calibri"/>
      <family val="2"/>
      <charset val="204"/>
    </font>
    <font>
      <sz val="16"/>
      <name val="Times New Roman"/>
      <family val="1"/>
      <charset val="1"/>
    </font>
    <font>
      <sz val="11"/>
      <name val="Times New Roman"/>
      <family val="1"/>
      <charset val="1"/>
    </font>
    <font>
      <u val="single"/>
      <sz val="11"/>
      <color rgb="FF0000FF"/>
      <name val="Calibri"/>
      <family val="2"/>
      <charset val="204"/>
    </font>
    <font>
      <u val="single"/>
      <sz val="11"/>
      <name val="Calibri"/>
      <family val="2"/>
      <charset val="204"/>
    </font>
    <font>
      <sz val="10"/>
      <name val="Times New Roman"/>
      <family val="1"/>
      <charset val="1"/>
    </font>
    <font>
      <u val="single"/>
      <sz val="11"/>
      <name val="Times New Roman"/>
      <family val="1"/>
      <charset val="1"/>
    </font>
    <font>
      <sz val="10"/>
      <color rgb="FF000000"/>
      <name val="Times New Roman"/>
      <family val="1"/>
      <charset val="1"/>
    </font>
    <font>
      <b val="true"/>
      <sz val="10"/>
      <color rgb="FF000000"/>
      <name val="Calibri"/>
      <family val="2"/>
      <charset val="1"/>
    </font>
    <font>
      <sz val="11"/>
      <color rgb="FF000000"/>
      <name val="Times New Roman"/>
      <family val="1"/>
      <charset val="1"/>
    </font>
    <font>
      <b val="true"/>
      <sz val="11"/>
      <name val="Times New Roman"/>
      <family val="1"/>
      <charset val="1"/>
    </font>
    <font>
      <b val="true"/>
      <sz val="10"/>
      <color rgb="FF000000"/>
      <name val="Cambria"/>
      <family val="1"/>
      <charset val="1"/>
    </font>
    <font>
      <sz val="9"/>
      <name val="Times New Roman"/>
      <family val="1"/>
      <charset val="1"/>
    </font>
    <font>
      <sz val="9"/>
      <color rgb="FF000000"/>
      <name val="Times New Roman"/>
      <family val="1"/>
      <charset val="1"/>
    </font>
    <font>
      <sz val="12"/>
      <color rgb="FF000000"/>
      <name val="Calibri"/>
      <family val="2"/>
      <charset val="1"/>
    </font>
  </fonts>
  <fills count="4">
    <fill>
      <patternFill patternType="none"/>
    </fill>
    <fill>
      <patternFill patternType="gray125"/>
    </fill>
    <fill>
      <patternFill patternType="solid">
        <fgColor rgb="FFFFFFFF"/>
        <bgColor rgb="FFFFFFCC"/>
      </patternFill>
    </fill>
    <fill>
      <patternFill patternType="solid">
        <fgColor rgb="FFD9D9D9"/>
        <bgColor rgb="FFC0C0C0"/>
      </patternFill>
    </fill>
  </fills>
  <borders count="6">
    <border diagonalUp="false" diagonalDown="false">
      <left/>
      <right/>
      <top/>
      <bottom/>
      <diagonal/>
    </border>
    <border diagonalUp="false" diagonalDown="false">
      <left/>
      <right/>
      <top/>
      <bottom style="medium"/>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color rgb="FF595959"/>
      </left>
      <right style="thin">
        <color rgb="FF595959"/>
      </right>
      <top style="thin">
        <color rgb="FF595959"/>
      </top>
      <bottom style="thin">
        <color rgb="FF595959"/>
      </bottom>
      <diagonal/>
    </border>
    <border diagonalUp="false" diagonalDown="false">
      <left style="thin">
        <color rgb="FF595959"/>
      </left>
      <right style="thin">
        <color rgb="FF595959"/>
      </right>
      <top style="thin">
        <color rgb="FF595959"/>
      </top>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2"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6"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2" borderId="0" xfId="0" applyFont="true" applyBorder="true" applyAlignment="true" applyProtection="true">
      <alignment horizontal="center" vertical="center" textRotation="0" wrapText="true" indent="0" shrinkToFit="false"/>
      <protection locked="true" hidden="false"/>
    </xf>
    <xf numFmtId="164" fontId="9" fillId="2" borderId="0"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left" vertical="center" textRotation="0" wrapText="fals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12" fillId="0" borderId="0" xfId="0" applyFont="true" applyBorder="true" applyAlignment="true" applyProtection="true">
      <alignment horizontal="center" vertical="center" textRotation="0" wrapText="false" indent="0" shrinkToFit="false"/>
      <protection locked="true" hidden="false"/>
    </xf>
    <xf numFmtId="164" fontId="9" fillId="0" borderId="0" xfId="0" applyFont="true" applyBorder="true" applyAlignment="true" applyProtection="true">
      <alignment horizontal="left" vertical="center" textRotation="0" wrapText="false" indent="0" shrinkToFit="false"/>
      <protection locked="true" hidden="false"/>
    </xf>
    <xf numFmtId="164" fontId="13" fillId="0" borderId="0" xfId="0" applyFont="true" applyBorder="true" applyAlignment="true" applyProtection="true">
      <alignment horizontal="left" vertical="center" textRotation="0" wrapText="true" indent="0" shrinkToFit="false"/>
      <protection locked="true" hidden="false"/>
    </xf>
    <xf numFmtId="164" fontId="10" fillId="3" borderId="2" xfId="0" applyFont="true" applyBorder="true" applyAlignment="true" applyProtection="true">
      <alignment horizontal="center" vertical="center" textRotation="0" wrapText="true" indent="0" shrinkToFit="false"/>
      <protection locked="true" hidden="false"/>
    </xf>
    <xf numFmtId="167" fontId="10" fillId="3" borderId="2"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2" fillId="2" borderId="2" xfId="0" applyFont="true" applyBorder="true" applyAlignment="true" applyProtection="true">
      <alignment horizontal="center" vertical="center" textRotation="0" wrapText="true" indent="0" shrinkToFit="false"/>
      <protection locked="true" hidden="false"/>
    </xf>
    <xf numFmtId="164" fontId="7" fillId="2" borderId="2" xfId="0" applyFont="true" applyBorder="true" applyAlignment="true" applyProtection="true">
      <alignment horizontal="center" vertical="center" textRotation="0" wrapText="true" indent="0" shrinkToFit="false"/>
      <protection locked="true" hidden="false"/>
    </xf>
    <xf numFmtId="167" fontId="12" fillId="2" borderId="2" xfId="0" applyFont="true" applyBorder="true" applyAlignment="true" applyProtection="true">
      <alignment horizontal="right" vertical="center" textRotation="0" wrapText="true" indent="0" shrinkToFit="false"/>
      <protection locked="true" hidden="false"/>
    </xf>
    <xf numFmtId="164" fontId="9" fillId="0" borderId="0" xfId="0" applyFont="true" applyBorder="true" applyAlignment="true" applyProtection="true">
      <alignment horizontal="center" vertical="center" textRotation="0" wrapText="true" indent="0" shrinkToFit="false"/>
      <protection locked="true" hidden="false"/>
    </xf>
    <xf numFmtId="164" fontId="10" fillId="2" borderId="3" xfId="0" applyFont="true" applyBorder="true" applyAlignment="true" applyProtection="true">
      <alignment horizontal="left" vertical="center" textRotation="0" wrapText="true" indent="0" shrinkToFit="false"/>
      <protection locked="true" hidden="false"/>
    </xf>
    <xf numFmtId="167" fontId="7" fillId="2" borderId="3" xfId="0" applyFont="true" applyBorder="true" applyAlignment="true" applyProtection="true">
      <alignment horizontal="right" vertical="center" textRotation="0" wrapText="true" indent="0" shrinkToFit="false"/>
      <protection locked="true" hidden="false"/>
    </xf>
    <xf numFmtId="164" fontId="10" fillId="2" borderId="0" xfId="0" applyFont="true" applyBorder="true" applyAlignment="true" applyProtection="true">
      <alignment horizontal="left" vertical="center" textRotation="0" wrapText="true" indent="0" shrinkToFit="false"/>
      <protection locked="true" hidden="false"/>
    </xf>
    <xf numFmtId="167" fontId="7" fillId="2" borderId="0" xfId="0" applyFont="true" applyBorder="true" applyAlignment="true" applyProtection="true">
      <alignment horizontal="right" vertical="center" textRotation="0" wrapText="true" indent="0" shrinkToFit="false"/>
      <protection locked="true" hidden="false"/>
    </xf>
    <xf numFmtId="167" fontId="12" fillId="2" borderId="0" xfId="0" applyFont="true" applyBorder="true" applyAlignment="true" applyProtection="true">
      <alignment horizontal="right" vertical="center" textRotation="0" wrapText="true" indent="0" shrinkToFit="false"/>
      <protection locked="true" hidden="false"/>
    </xf>
    <xf numFmtId="164" fontId="9" fillId="0" borderId="0" xfId="0" applyFont="true" applyBorder="true" applyAlignment="true" applyProtection="true">
      <alignment horizontal="left" vertical="center" textRotation="0" wrapText="true" indent="0" shrinkToFit="false"/>
      <protection locked="true" hidden="false"/>
    </xf>
    <xf numFmtId="167" fontId="12" fillId="0" borderId="0" xfId="0" applyFont="true" applyBorder="true" applyAlignment="true" applyProtection="true">
      <alignment horizontal="right" vertical="center" textRotation="0" wrapText="true" indent="0" shrinkToFit="false"/>
      <protection locked="true" hidden="false"/>
    </xf>
    <xf numFmtId="164" fontId="15" fillId="0" borderId="0" xfId="0" applyFont="true" applyBorder="true" applyAlignment="true" applyProtection="true">
      <alignment horizontal="left" vertical="center" textRotation="0" wrapText="false" indent="0" shrinkToFit="false"/>
      <protection locked="true" hidden="false"/>
    </xf>
    <xf numFmtId="168" fontId="12" fillId="0" borderId="0" xfId="0" applyFont="true" applyBorder="true" applyAlignment="true" applyProtection="true">
      <alignment horizontal="right" vertical="center" textRotation="0" wrapText="true" indent="0" shrinkToFit="false"/>
      <protection locked="true" hidden="false"/>
    </xf>
    <xf numFmtId="164" fontId="16" fillId="0" borderId="0" xfId="0" applyFont="true" applyBorder="true" applyAlignment="true" applyProtection="true">
      <alignment horizontal="left" vertical="center"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9" fillId="0" borderId="4" xfId="0" applyFont="true" applyBorder="true" applyAlignment="true" applyProtection="true">
      <alignment horizontal="center" vertical="top" textRotation="0" wrapText="true" indent="0" shrinkToFit="false"/>
      <protection locked="true" hidden="false"/>
    </xf>
    <xf numFmtId="164" fontId="20" fillId="0" borderId="4" xfId="0" applyFont="true" applyBorder="true" applyAlignment="true" applyProtection="true">
      <alignment horizontal="center" vertical="center" textRotation="0" wrapText="true" indent="0" shrinkToFit="false"/>
      <protection locked="true" hidden="false"/>
    </xf>
    <xf numFmtId="164" fontId="21" fillId="0" borderId="4" xfId="0" applyFont="true" applyBorder="true" applyAlignment="true" applyProtection="true">
      <alignment horizontal="left" vertical="top" textRotation="0" wrapText="false" indent="0" shrinkToFit="false"/>
      <protection locked="true" hidden="false"/>
    </xf>
    <xf numFmtId="164" fontId="21" fillId="0" borderId="4"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9" fontId="21" fillId="0" borderId="4"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23" fillId="0" borderId="4" xfId="20" applyFont="true" applyBorder="true" applyAlignment="true" applyProtection="true">
      <alignment horizontal="center" vertical="top" textRotation="0" wrapText="false" indent="0" shrinkToFit="false"/>
      <protection locked="true" hidden="false"/>
    </xf>
    <xf numFmtId="164" fontId="22" fillId="0" borderId="4" xfId="20" applyFont="true" applyBorder="true" applyAlignment="true" applyProtection="true">
      <alignment horizontal="center" vertical="top" textRotation="0" wrapText="false" indent="0" shrinkToFit="false"/>
      <protection locked="true" hidden="false"/>
    </xf>
    <xf numFmtId="164" fontId="24" fillId="0" borderId="4" xfId="0" applyFont="true" applyBorder="true" applyAlignment="true" applyProtection="true">
      <alignment horizontal="left" vertical="top" textRotation="0" wrapText="false" indent="0" shrinkToFit="false"/>
      <protection locked="true" hidden="false"/>
    </xf>
    <xf numFmtId="164" fontId="24" fillId="0" borderId="4" xfId="0" applyFont="true" applyBorder="true" applyAlignment="true" applyProtection="true">
      <alignment horizontal="center" vertical="top" textRotation="0" wrapText="false" indent="0" shrinkToFit="false"/>
      <protection locked="true" hidden="false"/>
    </xf>
    <xf numFmtId="169" fontId="24" fillId="0" borderId="4" xfId="0" applyFont="true" applyBorder="true" applyAlignment="true" applyProtection="true">
      <alignment horizontal="center" vertical="top" textRotation="0" wrapText="false" indent="0" shrinkToFit="false"/>
      <protection locked="true" hidden="false"/>
    </xf>
    <xf numFmtId="164" fontId="25" fillId="0" borderId="4" xfId="0" applyFont="true" applyBorder="true" applyAlignment="true" applyProtection="true">
      <alignment horizontal="center" vertical="top"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1" fillId="0" borderId="4" xfId="0" applyFont="true" applyBorder="true" applyAlignment="true" applyProtection="true">
      <alignment horizontal="left" vertical="top" textRotation="0" wrapText="tru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true" indent="0" shrinkToFit="false"/>
      <protection locked="true" hidden="false"/>
    </xf>
    <xf numFmtId="164" fontId="21" fillId="0" borderId="4" xfId="0" applyFont="true" applyBorder="true" applyAlignment="true" applyProtection="true">
      <alignment horizontal="center" vertical="center" textRotation="0" wrapText="true" indent="0" shrinkToFit="false"/>
      <protection locked="true" hidden="false"/>
    </xf>
    <xf numFmtId="164" fontId="21" fillId="0" borderId="5" xfId="0" applyFont="true" applyBorder="true" applyAlignment="true" applyProtection="true">
      <alignment horizontal="left" vertical="center" textRotation="0" wrapText="true" indent="0" shrinkToFit="false"/>
      <protection locked="true" hidden="false"/>
    </xf>
    <xf numFmtId="164" fontId="21" fillId="0" borderId="4" xfId="0" applyFont="true" applyBorder="true" applyAlignment="true" applyProtection="true">
      <alignment horizontal="left" vertical="center" textRotation="0" wrapText="true" indent="0" shrinkToFit="false"/>
      <protection locked="true" hidden="false"/>
    </xf>
    <xf numFmtId="164" fontId="28" fillId="0" borderId="4" xfId="0" applyFont="true" applyBorder="true" applyAlignment="true" applyProtection="true">
      <alignment horizontal="center" vertical="center" textRotation="0" wrapText="false" indent="0" shrinkToFit="false"/>
      <protection locked="true" hidden="false"/>
    </xf>
    <xf numFmtId="165" fontId="21" fillId="0" borderId="4" xfId="15" applyFont="true" applyBorder="true" applyAlignment="true" applyProtection="true">
      <alignment horizontal="center" vertical="center" textRotation="0" wrapText="true" indent="0" shrinkToFit="false"/>
      <protection locked="true" hidden="false"/>
    </xf>
    <xf numFmtId="167" fontId="21" fillId="0" borderId="4" xfId="0" applyFont="true" applyBorder="true" applyAlignment="true" applyProtection="true">
      <alignment horizontal="center" vertical="center" textRotation="0" wrapText="true" indent="0" shrinkToFit="false"/>
      <protection locked="true" hidden="false"/>
    </xf>
    <xf numFmtId="165" fontId="21" fillId="0" borderId="4" xfId="0" applyFont="true" applyBorder="true" applyAlignment="true" applyProtection="true">
      <alignment horizontal="center" vertical="center" textRotation="0" wrapText="true" indent="0" shrinkToFit="false"/>
      <protection locked="true" hidden="false"/>
    </xf>
    <xf numFmtId="170" fontId="21" fillId="2" borderId="2" xfId="24" applyFont="true" applyBorder="true" applyAlignment="true" applyProtection="true">
      <alignment horizontal="center" vertical="center" textRotation="0" wrapText="false" indent="0" shrinkToFit="false"/>
      <protection locked="true" hidden="false"/>
    </xf>
    <xf numFmtId="171" fontId="29" fillId="0" borderId="4" xfId="15" applyFont="true" applyBorder="true" applyAlignment="true" applyProtection="true">
      <alignment horizontal="center" vertical="bottom" textRotation="0" wrapText="false" indent="0" shrinkToFit="false"/>
      <protection locked="true" hidden="false"/>
    </xf>
    <xf numFmtId="171" fontId="29" fillId="0" borderId="4" xfId="15" applyFont="true" applyBorder="true" applyAlignment="true" applyProtection="true">
      <alignment horizontal="left" vertical="bottom" textRotation="0" wrapText="false" indent="0" shrinkToFit="false"/>
      <protection locked="true" hidden="false"/>
    </xf>
    <xf numFmtId="171" fontId="29" fillId="0" borderId="4" xfId="15" applyFont="true" applyBorder="true" applyAlignment="true" applyProtection="true">
      <alignment horizontal="left" vertical="center" textRotation="0" wrapText="true" indent="0" shrinkToFit="false"/>
      <protection locked="true" hidden="false"/>
    </xf>
    <xf numFmtId="171" fontId="30" fillId="0" borderId="0" xfId="0" applyFont="true" applyBorder="true" applyAlignment="true" applyProtection="true">
      <alignment horizontal="general"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71" fontId="29" fillId="0" borderId="0" xfId="15" applyFont="true" applyBorder="tru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5" fontId="7" fillId="0" borderId="0"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center" vertical="center" textRotation="0" wrapText="fals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72" fontId="28" fillId="0" borderId="0"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center"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left" vertical="bottom" textRotation="0" wrapText="false" indent="0" shrinkToFit="false"/>
      <protection locked="true" hidden="false"/>
    </xf>
    <xf numFmtId="165" fontId="28"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center" vertical="center" textRotation="0" wrapText="false" indent="0" shrinkToFit="false"/>
      <protection locked="true" hidden="false"/>
    </xf>
    <xf numFmtId="164" fontId="12" fillId="0" borderId="0" xfId="0" applyFont="true" applyBorder="false" applyAlignment="true" applyProtection="true">
      <alignment horizontal="center" vertical="center" textRotation="0" wrapText="false" indent="0" shrinkToFit="false"/>
      <protection locked="true" hidden="false"/>
    </xf>
    <xf numFmtId="164" fontId="32" fillId="0" borderId="0" xfId="0" applyFont="true" applyBorder="false" applyAlignment="true" applyProtection="true">
      <alignment horizontal="center" vertical="center" textRotation="0" wrapText="false" indent="0" shrinkToFit="false"/>
      <protection locked="true" hidden="false"/>
    </xf>
    <xf numFmtId="164" fontId="26" fillId="0" borderId="0" xfId="0" applyFont="true" applyBorder="fals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ma 2" xfId="21"/>
    <cellStyle name="Comma 3" xfId="22"/>
    <cellStyle name="Hyperlink 2" xfId="23"/>
    <cellStyle name="Normal 2" xfId="24"/>
    <cellStyle name="Normal 3" xfId="25"/>
    <cellStyle name="Normal 4" xfId="26"/>
    <cellStyle name="Normal 5" xfId="27"/>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externalLink" Target="externalLinks/externalLink1.xml"/><Relationship Id="rId5" Type="http://schemas.openxmlformats.org/officeDocument/2006/relationships/externalLink" Target="externalLinks/externalLink2.xml"/><Relationship Id="rId6" Type="http://schemas.openxmlformats.org/officeDocument/2006/relationships/externalLink" Target="externalLinks/externalLink3.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913320</xdr:colOff>
      <xdr:row>0</xdr:row>
      <xdr:rowOff>789480</xdr:rowOff>
    </xdr:to>
    <xdr:pic>
      <xdr:nvPicPr>
        <xdr:cNvPr id="0" name="Picture 1" descr=""/>
        <xdr:cNvPicPr/>
      </xdr:nvPicPr>
      <xdr:blipFill>
        <a:blip r:embed="rId1"/>
        <a:stretch/>
      </xdr:blipFill>
      <xdr:spPr>
        <a:xfrm>
          <a:off x="0" y="0"/>
          <a:ext cx="1256040" cy="789480"/>
        </a:xfrm>
        <a:prstGeom prst="rect">
          <a:avLst/>
        </a:prstGeom>
        <a:ln>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file:///F:/Users/hoangvanhe/Documents/D:/TRUONG%20YEN/EXCEL/KE%20TOAN%20-%20QD%2015%20(1.61).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file:///F:/Users/hoangvanhe/Documents/D:/KETOAN/hoadon/Mau%20Hoa%20don.xls"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file:///F:/Users/hoangvanhe/Documents/D:/EXCEL/KE%20TOAN%20-%20QD%2015%20(1.61).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hập_xuất"/>
      <sheetName val="Main"/>
      <sheetName val="NVL"/>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HAP LIEU"/>
      <sheetName val="TÊN KH"/>
      <sheetName val="Ma hang"/>
    </sheetNames>
    <sheetDataSet>
      <sheetData sheetId="0"/>
      <sheetData sheetId="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hập_xuất"/>
    </sheetNames>
    <sheetDataSet>
      <sheetData sheetId="0"/>
    </sheetDataSet>
  </externalBook>
</externalLink>
</file>

<file path=xl/worksheets/_rels/sheet2.xml.rels><?xml version="1.0" encoding="UTF-8"?>
<Relationships xmlns="http://schemas.openxmlformats.org/package/2006/relationships"><Relationship Id="rId1" Type="http://schemas.openxmlformats.org/officeDocument/2006/relationships/hyperlink" Target="mailto:master.trungtinkimsteel@gmail.com"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K6" activeCellId="0" sqref="K6"/>
    </sheetView>
  </sheetViews>
  <sheetFormatPr defaultColWidth="8.8671875" defaultRowHeight="15.4" zeroHeight="false" outlineLevelRow="0" outlineLevelCol="0"/>
  <cols>
    <col collapsed="false" customWidth="true" hidden="false" outlineLevel="0" max="1" min="1" style="1" width="8"/>
    <col collapsed="false" customWidth="true" hidden="false" outlineLevel="0" max="2" min="2" style="2" width="27.14"/>
    <col collapsed="false" customWidth="true" hidden="false" outlineLevel="0" max="3" min="3" style="2" width="31.28"/>
    <col collapsed="false" customWidth="true" hidden="false" outlineLevel="0" max="4" min="4" style="2" width="12.57"/>
    <col collapsed="false" customWidth="true" hidden="false" outlineLevel="0" max="5" min="5" style="2" width="12.42"/>
    <col collapsed="false" customWidth="true" hidden="false" outlineLevel="0" max="6" min="6" style="3" width="17.86"/>
    <col collapsed="false" customWidth="true" hidden="false" outlineLevel="0" max="7" min="7" style="3" width="23.28"/>
    <col collapsed="false" customWidth="false" hidden="false" outlineLevel="0" max="1025" min="8" style="2" width="8.86"/>
  </cols>
  <sheetData>
    <row r="1" customFormat="false" ht="15.4" hidden="false" customHeight="true" outlineLevel="0" collapsed="false">
      <c r="A1" s="4" t="s">
        <v>0</v>
      </c>
      <c r="B1" s="4"/>
      <c r="C1" s="4"/>
      <c r="D1" s="4"/>
      <c r="E1" s="4"/>
      <c r="F1" s="4"/>
      <c r="G1" s="4"/>
    </row>
    <row r="2" customFormat="false" ht="15.4" hidden="false" customHeight="false" outlineLevel="0" collapsed="false">
      <c r="A2" s="4"/>
      <c r="B2" s="4"/>
      <c r="C2" s="4"/>
      <c r="D2" s="4"/>
      <c r="E2" s="4"/>
      <c r="F2" s="4"/>
      <c r="G2" s="4"/>
    </row>
    <row r="3" customFormat="false" ht="15.4" hidden="false" customHeight="false" outlineLevel="0" collapsed="false">
      <c r="A3" s="5"/>
      <c r="B3" s="5"/>
      <c r="C3" s="5"/>
      <c r="D3" s="5"/>
      <c r="E3" s="5"/>
      <c r="F3" s="5"/>
      <c r="G3" s="5"/>
    </row>
    <row r="4" customFormat="false" ht="15" hidden="false" customHeight="false" outlineLevel="0" collapsed="false">
      <c r="A4" s="6" t="s">
        <v>1</v>
      </c>
      <c r="B4" s="6"/>
      <c r="C4" s="6"/>
      <c r="D4" s="6"/>
      <c r="E4" s="6" t="s">
        <v>2</v>
      </c>
      <c r="F4" s="6"/>
      <c r="G4" s="6"/>
    </row>
    <row r="5" customFormat="false" ht="15" hidden="false" customHeight="false" outlineLevel="0" collapsed="false">
      <c r="A5" s="6" t="s">
        <v>3</v>
      </c>
      <c r="B5" s="6"/>
      <c r="C5" s="6"/>
      <c r="D5" s="6"/>
      <c r="E5" s="6" t="s">
        <v>4</v>
      </c>
      <c r="F5" s="6"/>
      <c r="G5" s="6"/>
    </row>
    <row r="6" customFormat="false" ht="15" hidden="false" customHeight="false" outlineLevel="0" collapsed="false">
      <c r="A6" s="6" t="s">
        <v>5</v>
      </c>
      <c r="B6" s="6"/>
      <c r="C6" s="6"/>
      <c r="D6" s="6"/>
      <c r="E6" s="6"/>
      <c r="F6" s="6"/>
      <c r="G6" s="6"/>
    </row>
    <row r="7" customFormat="false" ht="6.75" hidden="false" customHeight="true" outlineLevel="0" collapsed="false">
      <c r="A7" s="7"/>
      <c r="B7" s="7"/>
      <c r="C7" s="7"/>
      <c r="D7" s="7"/>
      <c r="E7" s="7"/>
      <c r="F7" s="7"/>
      <c r="G7" s="7"/>
    </row>
    <row r="8" customFormat="false" ht="7.15" hidden="false" customHeight="true" outlineLevel="0" collapsed="false">
      <c r="A8" s="8"/>
      <c r="B8" s="8"/>
      <c r="C8" s="8"/>
      <c r="D8" s="8"/>
      <c r="E8" s="8"/>
      <c r="F8" s="8"/>
      <c r="G8" s="8"/>
    </row>
    <row r="9" customFormat="false" ht="15" hidden="false" customHeight="false" outlineLevel="0" collapsed="false">
      <c r="A9" s="6" t="s">
        <v>6</v>
      </c>
      <c r="B9" s="6"/>
      <c r="C9" s="6"/>
      <c r="D9" s="6"/>
      <c r="E9" s="6" t="s">
        <v>7</v>
      </c>
      <c r="F9" s="6"/>
      <c r="G9" s="6"/>
    </row>
    <row r="10" customFormat="false" ht="15" hidden="false" customHeight="false" outlineLevel="0" collapsed="false">
      <c r="A10" s="6" t="s">
        <v>8</v>
      </c>
      <c r="B10" s="6"/>
      <c r="C10" s="6"/>
      <c r="D10" s="6"/>
      <c r="E10" s="6"/>
      <c r="F10" s="6"/>
      <c r="G10" s="6"/>
    </row>
    <row r="11" customFormat="false" ht="15.4" hidden="false" customHeight="false" outlineLevel="0" collapsed="false">
      <c r="A11" s="9"/>
      <c r="B11" s="9"/>
      <c r="C11" s="9"/>
      <c r="D11" s="9"/>
      <c r="E11" s="9"/>
      <c r="F11" s="9"/>
      <c r="G11" s="9"/>
    </row>
    <row r="12" customFormat="false" ht="40.9" hidden="false" customHeight="true" outlineLevel="0" collapsed="false">
      <c r="A12" s="10" t="s">
        <v>9</v>
      </c>
      <c r="B12" s="10"/>
      <c r="C12" s="10"/>
      <c r="D12" s="10"/>
      <c r="E12" s="10"/>
      <c r="F12" s="10"/>
      <c r="G12" s="10"/>
    </row>
    <row r="13" s="13" customFormat="true" ht="15.4" hidden="false" customHeight="false" outlineLevel="0" collapsed="false">
      <c r="A13" s="11" t="s">
        <v>10</v>
      </c>
      <c r="B13" s="11" t="s">
        <v>11</v>
      </c>
      <c r="C13" s="11" t="s">
        <v>12</v>
      </c>
      <c r="D13" s="11" t="s">
        <v>13</v>
      </c>
      <c r="E13" s="11" t="s">
        <v>14</v>
      </c>
      <c r="F13" s="12" t="s">
        <v>15</v>
      </c>
      <c r="G13" s="12" t="s">
        <v>16</v>
      </c>
    </row>
    <row r="14" customFormat="false" ht="105" hidden="false" customHeight="true" outlineLevel="0" collapsed="false">
      <c r="A14" s="14"/>
      <c r="B14" s="14"/>
      <c r="C14" s="14"/>
      <c r="D14" s="15"/>
      <c r="E14" s="16"/>
      <c r="F14" s="16"/>
      <c r="G14" s="16"/>
    </row>
    <row r="15" customFormat="false" ht="105" hidden="false" customHeight="true" outlineLevel="0" collapsed="false">
      <c r="A15" s="14"/>
      <c r="B15" s="14"/>
      <c r="C15" s="14"/>
      <c r="D15" s="15"/>
      <c r="E15" s="16"/>
      <c r="F15" s="16"/>
      <c r="G15" s="16"/>
    </row>
    <row r="16" customFormat="false" ht="17.85" hidden="false" customHeight="true" outlineLevel="0" collapsed="false">
      <c r="A16" s="17"/>
      <c r="B16" s="17"/>
      <c r="C16" s="17"/>
      <c r="D16" s="18" t="s">
        <v>17</v>
      </c>
      <c r="E16" s="18"/>
      <c r="F16" s="19" t="n">
        <f aca="false">SUM(G14:G15)</f>
        <v>0</v>
      </c>
      <c r="G16" s="19"/>
    </row>
    <row r="17" customFormat="false" ht="17.85" hidden="false" customHeight="true" outlineLevel="0" collapsed="false">
      <c r="A17" s="17"/>
      <c r="B17" s="17"/>
      <c r="C17" s="17"/>
      <c r="D17" s="20" t="s">
        <v>18</v>
      </c>
      <c r="E17" s="20"/>
      <c r="F17" s="21" t="n">
        <v>0</v>
      </c>
      <c r="G17" s="21"/>
    </row>
    <row r="18" customFormat="false" ht="17.85" hidden="false" customHeight="true" outlineLevel="0" collapsed="false">
      <c r="A18" s="17"/>
      <c r="B18" s="17"/>
      <c r="C18" s="17"/>
      <c r="D18" s="20" t="s">
        <v>19</v>
      </c>
      <c r="E18" s="20"/>
      <c r="F18" s="22" t="n">
        <v>0</v>
      </c>
      <c r="G18" s="22"/>
    </row>
    <row r="19" customFormat="false" ht="17.85" hidden="false" customHeight="true" outlineLevel="0" collapsed="false">
      <c r="A19" s="17"/>
      <c r="B19" s="17"/>
      <c r="C19" s="17"/>
      <c r="D19" s="23" t="s">
        <v>20</v>
      </c>
      <c r="E19" s="23"/>
      <c r="F19" s="24" t="n">
        <f aca="false">F16-F17-F18</f>
        <v>0</v>
      </c>
      <c r="G19" s="24"/>
    </row>
    <row r="20" customFormat="false" ht="15.4" hidden="false" customHeight="false" outlineLevel="0" collapsed="false">
      <c r="A20" s="25" t="s">
        <v>21</v>
      </c>
      <c r="B20" s="25"/>
      <c r="C20" s="25"/>
      <c r="D20" s="25"/>
      <c r="E20" s="25"/>
      <c r="F20" s="25"/>
      <c r="G20" s="25"/>
    </row>
    <row r="21" customFormat="false" ht="15.4" hidden="false" customHeight="false" outlineLevel="0" collapsed="false">
      <c r="A21" s="25"/>
      <c r="B21" s="25"/>
      <c r="C21" s="25"/>
      <c r="D21" s="25"/>
      <c r="E21" s="25"/>
      <c r="F21" s="26"/>
      <c r="G21" s="26"/>
    </row>
    <row r="22" customFormat="false" ht="15.4" hidden="false" customHeight="false" outlineLevel="0" collapsed="false">
      <c r="A22" s="27"/>
      <c r="B22" s="28"/>
      <c r="C22" s="28"/>
      <c r="D22" s="28"/>
      <c r="E22" s="28"/>
      <c r="F22" s="29"/>
      <c r="G22" s="29"/>
    </row>
    <row r="23" customFormat="false" ht="15.4" hidden="false" customHeight="false" outlineLevel="0" collapsed="false">
      <c r="A23" s="27"/>
      <c r="B23" s="30" t="s">
        <v>22</v>
      </c>
      <c r="C23" s="28"/>
      <c r="D23" s="28"/>
      <c r="E23" s="31"/>
      <c r="F23" s="30" t="s">
        <v>23</v>
      </c>
      <c r="G23" s="29"/>
    </row>
    <row r="24" customFormat="false" ht="15.4" hidden="false" customHeight="false" outlineLevel="0" collapsed="false">
      <c r="A24" s="27"/>
      <c r="B24" s="31" t="s">
        <v>24</v>
      </c>
      <c r="C24" s="32"/>
      <c r="D24" s="32"/>
      <c r="E24" s="32"/>
      <c r="F24" s="31" t="s">
        <v>25</v>
      </c>
      <c r="G24" s="32"/>
    </row>
    <row r="25" customFormat="false" ht="15.4" hidden="false" customHeight="false" outlineLevel="0" collapsed="false">
      <c r="A25" s="27"/>
      <c r="B25" s="32"/>
      <c r="C25" s="32"/>
      <c r="D25" s="32"/>
      <c r="E25" s="32"/>
      <c r="F25" s="32"/>
      <c r="G25" s="32"/>
    </row>
    <row r="26" customFormat="false" ht="15.4" hidden="false" customHeight="false" outlineLevel="0" collapsed="false">
      <c r="A26" s="27"/>
      <c r="B26" s="32"/>
      <c r="C26" s="32"/>
      <c r="D26" s="32"/>
      <c r="E26" s="32"/>
      <c r="F26" s="32"/>
      <c r="G26" s="32"/>
    </row>
    <row r="27" customFormat="false" ht="15.4" hidden="false" customHeight="false" outlineLevel="0" collapsed="false">
      <c r="A27" s="27"/>
      <c r="B27" s="32"/>
      <c r="C27" s="32"/>
      <c r="D27" s="32"/>
      <c r="E27" s="32"/>
      <c r="F27" s="32"/>
      <c r="G27" s="32"/>
    </row>
    <row r="28" customFormat="false" ht="15.4" hidden="false" customHeight="false" outlineLevel="0" collapsed="false">
      <c r="A28" s="27"/>
      <c r="B28" s="32"/>
      <c r="C28" s="32"/>
      <c r="D28" s="32"/>
      <c r="E28" s="32"/>
      <c r="F28" s="32"/>
      <c r="G28" s="32"/>
    </row>
    <row r="29" customFormat="false" ht="15.4" hidden="false" customHeight="false" outlineLevel="0" collapsed="false">
      <c r="A29" s="27"/>
      <c r="B29" s="32"/>
      <c r="C29" s="32"/>
      <c r="D29" s="32"/>
      <c r="E29" s="32"/>
      <c r="F29" s="32"/>
      <c r="G29" s="32"/>
    </row>
    <row r="30" customFormat="false" ht="15.4" hidden="false" customHeight="false" outlineLevel="0" collapsed="false">
      <c r="A30" s="27"/>
      <c r="B30" s="32"/>
      <c r="C30" s="32"/>
      <c r="D30" s="32"/>
      <c r="E30" s="32"/>
      <c r="F30" s="32"/>
      <c r="G30" s="32"/>
    </row>
    <row r="31" customFormat="false" ht="15.4" hidden="false" customHeight="false" outlineLevel="0" collapsed="false">
      <c r="A31" s="27"/>
      <c r="B31" s="32"/>
      <c r="C31" s="32"/>
      <c r="D31" s="32"/>
      <c r="E31" s="32"/>
      <c r="F31" s="32"/>
      <c r="G31" s="32"/>
    </row>
    <row r="32" customFormat="false" ht="15.4" hidden="false" customHeight="false" outlineLevel="0" collapsed="false">
      <c r="A32" s="27"/>
      <c r="B32" s="28"/>
      <c r="C32" s="28"/>
      <c r="D32" s="28"/>
      <c r="E32" s="28"/>
      <c r="F32" s="29"/>
      <c r="G32" s="29"/>
    </row>
  </sheetData>
  <mergeCells count="23">
    <mergeCell ref="A1:G2"/>
    <mergeCell ref="A4:D4"/>
    <mergeCell ref="E4:G4"/>
    <mergeCell ref="A5:D5"/>
    <mergeCell ref="E5:G5"/>
    <mergeCell ref="A6:G6"/>
    <mergeCell ref="A7:G7"/>
    <mergeCell ref="A8:G8"/>
    <mergeCell ref="A9:D9"/>
    <mergeCell ref="E9:G9"/>
    <mergeCell ref="A10:G10"/>
    <mergeCell ref="A12:G12"/>
    <mergeCell ref="A16:C19"/>
    <mergeCell ref="D16:E16"/>
    <mergeCell ref="F16:G16"/>
    <mergeCell ref="D17:E17"/>
    <mergeCell ref="F17:G17"/>
    <mergeCell ref="D18:E18"/>
    <mergeCell ref="F18:G18"/>
    <mergeCell ref="D19:E19"/>
    <mergeCell ref="F19:G19"/>
    <mergeCell ref="A20:G20"/>
    <mergeCell ref="F21:G21"/>
  </mergeCells>
  <printOptions headings="false" gridLines="false" gridLinesSet="true" horizontalCentered="false" verticalCentered="false"/>
  <pageMargins left="0.25" right="0.25" top="0.75" bottom="0.75" header="0.511805555555555" footer="0.511805555555555"/>
  <pageSetup paperSize="1" scale="75"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O42"/>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N18" activeCellId="0" sqref="N18"/>
    </sheetView>
  </sheetViews>
  <sheetFormatPr defaultColWidth="8.8671875" defaultRowHeight="14.25" zeroHeight="false" outlineLevelRow="0" outlineLevelCol="0"/>
  <cols>
    <col collapsed="false" customWidth="true" hidden="false" outlineLevel="0" max="1" min="1" style="33" width="4.86"/>
    <col collapsed="false" customWidth="true" hidden="false" outlineLevel="0" max="2" min="2" style="0" width="14.43"/>
    <col collapsed="false" customWidth="true" hidden="false" outlineLevel="0" max="3" min="3" style="0" width="22.43"/>
    <col collapsed="false" customWidth="true" hidden="false" outlineLevel="0" max="4" min="4" style="0" width="15.15"/>
    <col collapsed="false" customWidth="true" hidden="false" outlineLevel="0" max="5" min="5" style="34" width="5.43"/>
    <col collapsed="false" customWidth="true" hidden="false" outlineLevel="0" max="6" min="6" style="0" width="11.71"/>
    <col collapsed="false" customWidth="true" hidden="false" outlineLevel="0" max="7" min="7" style="0" width="9.42"/>
    <col collapsed="false" customWidth="true" hidden="false" outlineLevel="0" max="8" min="8" style="35" width="15.42"/>
    <col collapsed="false" customWidth="true" hidden="false" outlineLevel="0" max="9" min="9" style="36" width="11.14"/>
    <col collapsed="false" customWidth="true" hidden="false" outlineLevel="0" max="10" min="10" style="37" width="11.71"/>
    <col collapsed="false" customWidth="true" hidden="false" outlineLevel="0" max="11" min="11" style="0" width="10.14"/>
    <col collapsed="false" customWidth="true" hidden="false" outlineLevel="0" max="13" min="12" style="0" width="13.7"/>
    <col collapsed="false" customWidth="true" hidden="false" outlineLevel="0" max="14" min="14" style="0" width="16.42"/>
  </cols>
  <sheetData>
    <row r="1" customFormat="false" ht="63" hidden="false" customHeight="true" outlineLevel="0" collapsed="false">
      <c r="A1" s="38" t="s">
        <v>26</v>
      </c>
      <c r="B1" s="38"/>
      <c r="C1" s="38"/>
      <c r="D1" s="38"/>
      <c r="E1" s="38"/>
      <c r="F1" s="38"/>
      <c r="G1" s="38"/>
      <c r="H1" s="38"/>
      <c r="I1" s="38"/>
    </row>
    <row r="2" customFormat="false" ht="23.25" hidden="false" customHeight="true" outlineLevel="0" collapsed="false">
      <c r="A2" s="39" t="s">
        <v>27</v>
      </c>
      <c r="B2" s="39"/>
      <c r="C2" s="39"/>
      <c r="D2" s="39"/>
      <c r="E2" s="39"/>
      <c r="F2" s="39"/>
      <c r="G2" s="39"/>
      <c r="H2" s="39"/>
      <c r="I2" s="39"/>
    </row>
    <row r="3" s="42" customFormat="true" ht="15" hidden="false" customHeight="true" outlineLevel="0" collapsed="false">
      <c r="A3" s="40" t="s">
        <v>28</v>
      </c>
      <c r="B3" s="40"/>
      <c r="C3" s="41" t="s">
        <v>29</v>
      </c>
      <c r="D3" s="41"/>
      <c r="E3" s="41" t="s">
        <v>30</v>
      </c>
      <c r="F3" s="41"/>
      <c r="G3" s="40" t="s">
        <v>31</v>
      </c>
      <c r="H3" s="40"/>
      <c r="I3" s="40"/>
    </row>
    <row r="4" s="42" customFormat="true" ht="15" hidden="false" customHeight="true" outlineLevel="0" collapsed="false">
      <c r="A4" s="40" t="s">
        <v>32</v>
      </c>
      <c r="B4" s="40"/>
      <c r="C4" s="41" t="s">
        <v>33</v>
      </c>
      <c r="D4" s="41"/>
      <c r="E4" s="41" t="s">
        <v>34</v>
      </c>
      <c r="F4" s="41"/>
      <c r="G4" s="41" t="s">
        <v>35</v>
      </c>
      <c r="H4" s="41"/>
      <c r="I4" s="41"/>
    </row>
    <row r="5" s="44" customFormat="true" ht="15" hidden="false" customHeight="true" outlineLevel="0" collapsed="false">
      <c r="A5" s="40" t="s">
        <v>36</v>
      </c>
      <c r="B5" s="40"/>
      <c r="C5" s="43"/>
      <c r="D5" s="43"/>
      <c r="E5" s="41" t="s">
        <v>36</v>
      </c>
      <c r="F5" s="41"/>
      <c r="G5" s="41" t="s">
        <v>37</v>
      </c>
      <c r="H5" s="41"/>
      <c r="I5" s="41"/>
    </row>
    <row r="6" s="42" customFormat="true" ht="15" hidden="false" customHeight="true" outlineLevel="0" collapsed="false">
      <c r="A6" s="40" t="s">
        <v>38</v>
      </c>
      <c r="B6" s="40"/>
      <c r="C6" s="45"/>
      <c r="D6" s="45"/>
      <c r="E6" s="41" t="s">
        <v>38</v>
      </c>
      <c r="F6" s="41"/>
      <c r="G6" s="46" t="s">
        <v>39</v>
      </c>
      <c r="H6" s="46"/>
      <c r="I6" s="46"/>
    </row>
    <row r="7" s="34" customFormat="true" ht="15" hidden="false" customHeight="true" outlineLevel="0" collapsed="false">
      <c r="A7" s="47" t="s">
        <v>40</v>
      </c>
      <c r="B7" s="47"/>
      <c r="C7" s="41" t="s">
        <v>41</v>
      </c>
      <c r="D7" s="41"/>
      <c r="E7" s="48" t="s">
        <v>40</v>
      </c>
      <c r="F7" s="48"/>
      <c r="G7" s="47" t="s">
        <v>42</v>
      </c>
      <c r="H7" s="47"/>
      <c r="I7" s="47"/>
    </row>
    <row r="8" s="34" customFormat="true" ht="15" hidden="false" customHeight="true" outlineLevel="0" collapsed="false">
      <c r="A8" s="47" t="s">
        <v>43</v>
      </c>
      <c r="B8" s="47"/>
      <c r="C8" s="48"/>
      <c r="D8" s="48"/>
      <c r="E8" s="48" t="s">
        <v>43</v>
      </c>
      <c r="F8" s="48"/>
      <c r="G8" s="49" t="s">
        <v>44</v>
      </c>
      <c r="H8" s="49"/>
      <c r="I8" s="49"/>
    </row>
    <row r="9" s="34" customFormat="true" ht="15" hidden="false" customHeight="true" outlineLevel="0" collapsed="false">
      <c r="A9" s="47" t="s">
        <v>45</v>
      </c>
      <c r="B9" s="47"/>
      <c r="C9" s="48"/>
      <c r="D9" s="48"/>
      <c r="E9" s="48" t="s">
        <v>45</v>
      </c>
      <c r="F9" s="48"/>
      <c r="G9" s="50" t="s">
        <v>46</v>
      </c>
      <c r="H9" s="50"/>
      <c r="I9" s="50"/>
      <c r="N9" s="51"/>
    </row>
    <row r="10" s="34" customFormat="true" ht="45.75" hidden="false" customHeight="true" outlineLevel="0" collapsed="false">
      <c r="A10" s="52" t="s">
        <v>47</v>
      </c>
      <c r="B10" s="52"/>
      <c r="C10" s="52"/>
      <c r="D10" s="52"/>
      <c r="E10" s="52"/>
      <c r="F10" s="52"/>
      <c r="G10" s="52"/>
      <c r="H10" s="52"/>
      <c r="I10" s="52"/>
      <c r="J10" s="53"/>
      <c r="K10" s="54"/>
      <c r="L10" s="54"/>
      <c r="M10" s="55"/>
      <c r="N10" s="54"/>
      <c r="O10" s="54"/>
    </row>
    <row r="11" s="34" customFormat="true" ht="14.25" hidden="false" customHeight="true" outlineLevel="0" collapsed="false">
      <c r="A11" s="56" t="s">
        <v>48</v>
      </c>
      <c r="B11" s="57" t="s">
        <v>49</v>
      </c>
      <c r="C11" s="58" t="s">
        <v>50</v>
      </c>
      <c r="D11" s="59" t="s">
        <v>51</v>
      </c>
      <c r="E11" s="56" t="s">
        <v>52</v>
      </c>
      <c r="F11" s="60" t="s">
        <v>53</v>
      </c>
      <c r="G11" s="61" t="s">
        <v>54</v>
      </c>
      <c r="H11" s="62" t="s">
        <v>55</v>
      </c>
      <c r="I11" s="56" t="s">
        <v>56</v>
      </c>
      <c r="J11" s="53"/>
      <c r="K11" s="54"/>
      <c r="L11" s="54"/>
      <c r="M11" s="55"/>
      <c r="N11" s="54"/>
      <c r="O11" s="54"/>
    </row>
    <row r="12" s="34" customFormat="true" ht="17.25" hidden="false" customHeight="true" outlineLevel="0" collapsed="false">
      <c r="A12" s="56" t="n">
        <v>3</v>
      </c>
      <c r="B12" s="63" t="s">
        <v>57</v>
      </c>
      <c r="C12" s="58" t="s">
        <v>58</v>
      </c>
      <c r="D12" s="59" t="s">
        <v>59</v>
      </c>
      <c r="E12" s="56" t="s">
        <v>60</v>
      </c>
      <c r="F12" s="60" t="n">
        <f aca="false">6.85*12</f>
        <v>82.2</v>
      </c>
      <c r="G12" s="61" t="n">
        <v>11800</v>
      </c>
      <c r="H12" s="62" t="n">
        <f aca="false">G12*F12</f>
        <v>969960</v>
      </c>
      <c r="I12" s="56" t="s">
        <v>61</v>
      </c>
      <c r="J12" s="53"/>
      <c r="K12" s="54"/>
      <c r="L12" s="54"/>
      <c r="M12" s="55"/>
      <c r="N12" s="54"/>
      <c r="O12" s="54"/>
    </row>
    <row r="13" s="34" customFormat="true" ht="17.25" hidden="false" customHeight="true" outlineLevel="0" collapsed="false">
      <c r="A13" s="56" t="n">
        <v>4</v>
      </c>
      <c r="B13" s="63" t="s">
        <v>57</v>
      </c>
      <c r="C13" s="58" t="s">
        <v>62</v>
      </c>
      <c r="D13" s="59" t="s">
        <v>59</v>
      </c>
      <c r="E13" s="56" t="s">
        <v>60</v>
      </c>
      <c r="F13" s="60" t="n">
        <f aca="false">9.96*12*66</f>
        <v>7888.32</v>
      </c>
      <c r="G13" s="61" t="n">
        <v>12300</v>
      </c>
      <c r="H13" s="62" t="n">
        <f aca="false">G13*F13</f>
        <v>97026336</v>
      </c>
      <c r="I13" s="56" t="s">
        <v>63</v>
      </c>
      <c r="J13" s="53"/>
      <c r="K13" s="54"/>
      <c r="L13" s="54"/>
      <c r="M13" s="55"/>
      <c r="N13" s="54"/>
      <c r="O13" s="54"/>
    </row>
    <row r="14" s="34" customFormat="true" ht="17.25" hidden="false" customHeight="true" outlineLevel="0" collapsed="false">
      <c r="A14" s="56" t="n">
        <v>5</v>
      </c>
      <c r="B14" s="63" t="s">
        <v>57</v>
      </c>
      <c r="C14" s="58" t="s">
        <v>64</v>
      </c>
      <c r="D14" s="59" t="s">
        <v>59</v>
      </c>
      <c r="E14" s="56" t="s">
        <v>60</v>
      </c>
      <c r="F14" s="60" t="n">
        <f aca="false">9.59*12*36</f>
        <v>4142.88</v>
      </c>
      <c r="G14" s="61" t="n">
        <v>11800</v>
      </c>
      <c r="H14" s="62" t="n">
        <f aca="false">G14*F14</f>
        <v>48885984</v>
      </c>
      <c r="I14" s="56" t="s">
        <v>65</v>
      </c>
      <c r="J14" s="53"/>
      <c r="K14" s="54"/>
      <c r="L14" s="54"/>
      <c r="M14" s="55"/>
      <c r="N14" s="54"/>
      <c r="O14" s="54"/>
    </row>
    <row r="15" s="34" customFormat="true" ht="17.25" hidden="false" customHeight="true" outlineLevel="0" collapsed="false">
      <c r="A15" s="56" t="n">
        <v>6</v>
      </c>
      <c r="B15" s="63" t="s">
        <v>57</v>
      </c>
      <c r="C15" s="58" t="s">
        <v>66</v>
      </c>
      <c r="D15" s="59" t="s">
        <v>59</v>
      </c>
      <c r="E15" s="56" t="s">
        <v>60</v>
      </c>
      <c r="F15" s="60" t="n">
        <f aca="false">10.7*12*46</f>
        <v>5906.4</v>
      </c>
      <c r="G15" s="61" t="n">
        <v>11800</v>
      </c>
      <c r="H15" s="62" t="n">
        <f aca="false">G15*F15</f>
        <v>69695520</v>
      </c>
      <c r="I15" s="56" t="s">
        <v>67</v>
      </c>
      <c r="J15" s="53"/>
      <c r="K15" s="54"/>
      <c r="L15" s="54"/>
      <c r="M15" s="55"/>
      <c r="N15" s="54"/>
      <c r="O15" s="54"/>
    </row>
    <row r="16" s="34" customFormat="true" ht="17.25" hidden="false" customHeight="true" outlineLevel="0" collapsed="false">
      <c r="A16" s="56" t="n">
        <v>7</v>
      </c>
      <c r="B16" s="63" t="s">
        <v>57</v>
      </c>
      <c r="C16" s="58" t="s">
        <v>68</v>
      </c>
      <c r="D16" s="59" t="s">
        <v>59</v>
      </c>
      <c r="E16" s="56" t="s">
        <v>60</v>
      </c>
      <c r="F16" s="60" t="n">
        <f aca="false">14.9*12*3</f>
        <v>536.4</v>
      </c>
      <c r="G16" s="61" t="n">
        <v>11800</v>
      </c>
      <c r="H16" s="62" t="n">
        <f aca="false">G16*F16</f>
        <v>6329520</v>
      </c>
      <c r="I16" s="56" t="s">
        <v>69</v>
      </c>
      <c r="J16" s="53"/>
      <c r="K16" s="54"/>
      <c r="L16" s="54"/>
      <c r="M16" s="55"/>
      <c r="N16" s="54"/>
      <c r="O16" s="54"/>
    </row>
    <row r="17" s="34" customFormat="true" ht="17.25" hidden="false" customHeight="true" outlineLevel="0" collapsed="false">
      <c r="A17" s="56" t="n">
        <v>8</v>
      </c>
      <c r="B17" s="63" t="s">
        <v>57</v>
      </c>
      <c r="C17" s="58" t="s">
        <v>70</v>
      </c>
      <c r="D17" s="59" t="s">
        <v>59</v>
      </c>
      <c r="E17" s="56" t="s">
        <v>60</v>
      </c>
      <c r="F17" s="60" t="n">
        <f aca="false">17.9*12*24</f>
        <v>5155.2</v>
      </c>
      <c r="G17" s="61" t="n">
        <v>12500</v>
      </c>
      <c r="H17" s="62" t="n">
        <f aca="false">G17*F17</f>
        <v>64440000</v>
      </c>
      <c r="I17" s="56" t="s">
        <v>71</v>
      </c>
      <c r="J17" s="53"/>
      <c r="K17" s="54"/>
      <c r="L17" s="54"/>
      <c r="M17" s="55"/>
      <c r="N17" s="54"/>
      <c r="O17" s="54"/>
    </row>
    <row r="18" s="34" customFormat="true" ht="18" hidden="false" customHeight="true" outlineLevel="0" collapsed="false">
      <c r="A18" s="56" t="n">
        <v>13</v>
      </c>
      <c r="B18" s="63" t="s">
        <v>57</v>
      </c>
      <c r="C18" s="58" t="s">
        <v>62</v>
      </c>
      <c r="D18" s="59" t="s">
        <v>59</v>
      </c>
      <c r="E18" s="56" t="s">
        <v>60</v>
      </c>
      <c r="F18" s="60" t="n">
        <f aca="false">9.96*12*1</f>
        <v>119.52</v>
      </c>
      <c r="G18" s="61" t="n">
        <v>12300</v>
      </c>
      <c r="H18" s="62" t="n">
        <f aca="false">G18*F18</f>
        <v>1470096</v>
      </c>
      <c r="I18" s="56" t="s">
        <v>61</v>
      </c>
      <c r="J18" s="53"/>
      <c r="K18" s="54"/>
      <c r="L18" s="54"/>
      <c r="M18" s="55"/>
      <c r="N18" s="54"/>
      <c r="O18" s="54"/>
    </row>
    <row r="19" s="34" customFormat="true" ht="18" hidden="false" customHeight="true" outlineLevel="0" collapsed="false">
      <c r="A19" s="56" t="n">
        <v>14</v>
      </c>
      <c r="B19" s="63" t="s">
        <v>57</v>
      </c>
      <c r="C19" s="58" t="s">
        <v>62</v>
      </c>
      <c r="D19" s="59" t="s">
        <v>59</v>
      </c>
      <c r="E19" s="56" t="s">
        <v>60</v>
      </c>
      <c r="F19" s="60" t="n">
        <f aca="false">9.96*12*15</f>
        <v>1792.8</v>
      </c>
      <c r="G19" s="61" t="n">
        <v>12300</v>
      </c>
      <c r="H19" s="62" t="n">
        <f aca="false">G19*F19</f>
        <v>22051440</v>
      </c>
      <c r="I19" s="56" t="s">
        <v>72</v>
      </c>
      <c r="J19" s="53"/>
      <c r="K19" s="54"/>
      <c r="L19" s="54"/>
      <c r="M19" s="55"/>
      <c r="N19" s="54"/>
      <c r="O19" s="54"/>
    </row>
    <row r="20" s="34" customFormat="true" ht="18" hidden="false" customHeight="true" outlineLevel="0" collapsed="false">
      <c r="A20" s="56" t="n">
        <v>26</v>
      </c>
      <c r="B20" s="63" t="s">
        <v>73</v>
      </c>
      <c r="C20" s="58" t="s">
        <v>74</v>
      </c>
      <c r="D20" s="59" t="s">
        <v>59</v>
      </c>
      <c r="E20" s="56" t="s">
        <v>60</v>
      </c>
      <c r="F20" s="60" t="n">
        <f aca="false">29.6*12*18</f>
        <v>6393.6</v>
      </c>
      <c r="G20" s="61" t="n">
        <v>10700</v>
      </c>
      <c r="H20" s="62" t="n">
        <f aca="false">G20*F20</f>
        <v>68411520</v>
      </c>
      <c r="I20" s="56" t="s">
        <v>75</v>
      </c>
      <c r="J20" s="53"/>
      <c r="K20" s="54"/>
      <c r="L20" s="54"/>
      <c r="M20" s="55"/>
      <c r="N20" s="54"/>
      <c r="O20" s="54"/>
    </row>
    <row r="21" s="34" customFormat="true" ht="18" hidden="false" customHeight="true" outlineLevel="0" collapsed="false">
      <c r="A21" s="56" t="n">
        <v>30</v>
      </c>
      <c r="B21" s="63" t="s">
        <v>73</v>
      </c>
      <c r="C21" s="58" t="s">
        <v>76</v>
      </c>
      <c r="D21" s="59" t="s">
        <v>59</v>
      </c>
      <c r="E21" s="56" t="s">
        <v>60</v>
      </c>
      <c r="F21" s="60" t="n">
        <f aca="false">94*12*3</f>
        <v>3384</v>
      </c>
      <c r="G21" s="61" t="n">
        <v>11100</v>
      </c>
      <c r="H21" s="62" t="n">
        <f aca="false">G21*F21</f>
        <v>37562400</v>
      </c>
      <c r="I21" s="56" t="s">
        <v>69</v>
      </c>
      <c r="J21" s="53"/>
      <c r="K21" s="54"/>
      <c r="L21" s="54"/>
      <c r="M21" s="55"/>
      <c r="N21" s="54"/>
      <c r="O21" s="54"/>
    </row>
    <row r="22" s="34" customFormat="true" ht="18" hidden="false" customHeight="true" outlineLevel="0" collapsed="false">
      <c r="A22" s="56" t="n">
        <v>36</v>
      </c>
      <c r="B22" s="63" t="s">
        <v>77</v>
      </c>
      <c r="C22" s="58" t="s">
        <v>78</v>
      </c>
      <c r="D22" s="59" t="s">
        <v>59</v>
      </c>
      <c r="E22" s="56" t="s">
        <v>60</v>
      </c>
      <c r="F22" s="60" t="n">
        <f aca="false">7.85*9*2*6</f>
        <v>847.8</v>
      </c>
      <c r="G22" s="61" t="n">
        <v>10800</v>
      </c>
      <c r="H22" s="62" t="n">
        <f aca="false">G22*F22</f>
        <v>9156240</v>
      </c>
      <c r="I22" s="56" t="s">
        <v>61</v>
      </c>
      <c r="J22" s="53"/>
      <c r="K22" s="54"/>
      <c r="L22" s="54"/>
      <c r="M22" s="55"/>
      <c r="N22" s="54"/>
      <c r="O22" s="54"/>
    </row>
    <row r="23" s="34" customFormat="true" ht="18" hidden="false" customHeight="true" outlineLevel="0" collapsed="false">
      <c r="A23" s="56" t="n">
        <v>39</v>
      </c>
      <c r="B23" s="63" t="s">
        <v>77</v>
      </c>
      <c r="C23" s="58" t="s">
        <v>79</v>
      </c>
      <c r="D23" s="59" t="s">
        <v>59</v>
      </c>
      <c r="E23" s="56" t="s">
        <v>60</v>
      </c>
      <c r="F23" s="60" t="n">
        <f aca="false">7.85*15*2*6</f>
        <v>1413</v>
      </c>
      <c r="G23" s="61" t="n">
        <v>11000</v>
      </c>
      <c r="H23" s="62" t="n">
        <f aca="false">G23*F23</f>
        <v>15543000</v>
      </c>
      <c r="I23" s="56" t="s">
        <v>61</v>
      </c>
      <c r="J23" s="53"/>
      <c r="K23" s="54"/>
      <c r="L23" s="54"/>
      <c r="M23" s="55"/>
      <c r="N23" s="54"/>
      <c r="O23" s="54"/>
    </row>
    <row r="24" s="34" customFormat="true" ht="18" hidden="false" customHeight="true" outlineLevel="0" collapsed="false">
      <c r="A24" s="56" t="n">
        <v>40</v>
      </c>
      <c r="B24" s="63" t="s">
        <v>77</v>
      </c>
      <c r="C24" s="58" t="s">
        <v>80</v>
      </c>
      <c r="D24" s="59" t="s">
        <v>59</v>
      </c>
      <c r="E24" s="56" t="s">
        <v>60</v>
      </c>
      <c r="F24" s="60" t="n">
        <f aca="false">7.85*20*2*6</f>
        <v>1884</v>
      </c>
      <c r="G24" s="61" t="n">
        <v>10500</v>
      </c>
      <c r="H24" s="62" t="n">
        <f aca="false">G24*F24</f>
        <v>19782000</v>
      </c>
      <c r="I24" s="56" t="s">
        <v>61</v>
      </c>
      <c r="J24" s="53"/>
      <c r="K24" s="54"/>
      <c r="L24" s="54"/>
      <c r="M24" s="55"/>
      <c r="N24" s="54"/>
      <c r="O24" s="54"/>
    </row>
    <row r="25" s="34" customFormat="true" ht="18" hidden="false" customHeight="true" outlineLevel="0" collapsed="false">
      <c r="A25" s="56" t="n">
        <v>41</v>
      </c>
      <c r="B25" s="63" t="s">
        <v>77</v>
      </c>
      <c r="C25" s="58" t="s">
        <v>81</v>
      </c>
      <c r="D25" s="59" t="s">
        <v>59</v>
      </c>
      <c r="E25" s="56" t="s">
        <v>60</v>
      </c>
      <c r="F25" s="60" t="n">
        <f aca="false">7.85*25*2*6</f>
        <v>2355</v>
      </c>
      <c r="G25" s="61" t="n">
        <v>10500</v>
      </c>
      <c r="H25" s="62" t="n">
        <f aca="false">G25*F25</f>
        <v>24727500</v>
      </c>
      <c r="I25" s="56" t="s">
        <v>61</v>
      </c>
      <c r="J25" s="53"/>
      <c r="K25" s="54"/>
      <c r="L25" s="54"/>
      <c r="M25" s="55"/>
      <c r="N25" s="54"/>
      <c r="O25" s="54"/>
    </row>
    <row r="26" s="34" customFormat="true" ht="18" hidden="false" customHeight="true" outlineLevel="0" collapsed="false">
      <c r="A26" s="56" t="n">
        <v>43</v>
      </c>
      <c r="B26" s="63" t="s">
        <v>77</v>
      </c>
      <c r="C26" s="58" t="s">
        <v>82</v>
      </c>
      <c r="D26" s="59" t="s">
        <v>59</v>
      </c>
      <c r="E26" s="56" t="s">
        <v>60</v>
      </c>
      <c r="F26" s="60" t="n">
        <f aca="false">7.85*6*1.5*6*5</f>
        <v>2119.5</v>
      </c>
      <c r="G26" s="61" t="n">
        <v>9400</v>
      </c>
      <c r="H26" s="62" t="n">
        <f aca="false">G26*F26</f>
        <v>19923300</v>
      </c>
      <c r="I26" s="56" t="s">
        <v>83</v>
      </c>
      <c r="J26" s="53"/>
      <c r="K26" s="54"/>
      <c r="L26" s="54"/>
      <c r="M26" s="55"/>
      <c r="N26" s="54"/>
      <c r="O26" s="54"/>
    </row>
    <row r="27" s="34" customFormat="true" ht="18" hidden="false" customHeight="true" outlineLevel="0" collapsed="false">
      <c r="A27" s="56" t="n">
        <v>44</v>
      </c>
      <c r="B27" s="63" t="s">
        <v>77</v>
      </c>
      <c r="C27" s="58" t="s">
        <v>81</v>
      </c>
      <c r="D27" s="59" t="s">
        <v>59</v>
      </c>
      <c r="E27" s="56" t="s">
        <v>60</v>
      </c>
      <c r="F27" s="60" t="n">
        <f aca="false">7.85*25*2*6</f>
        <v>2355</v>
      </c>
      <c r="G27" s="61" t="n">
        <v>10500</v>
      </c>
      <c r="H27" s="62" t="n">
        <f aca="false">G27*F27</f>
        <v>24727500</v>
      </c>
      <c r="I27" s="56" t="s">
        <v>61</v>
      </c>
      <c r="J27" s="53"/>
      <c r="K27" s="54"/>
      <c r="L27" s="54"/>
      <c r="M27" s="55"/>
      <c r="N27" s="54"/>
      <c r="O27" s="54"/>
    </row>
    <row r="28" s="34" customFormat="true" ht="30.75" hidden="false" customHeight="true" outlineLevel="0" collapsed="false">
      <c r="A28" s="56" t="n">
        <v>46</v>
      </c>
      <c r="B28" s="63" t="s">
        <v>84</v>
      </c>
      <c r="C28" s="58" t="s">
        <v>85</v>
      </c>
      <c r="D28" s="59" t="s">
        <v>59</v>
      </c>
      <c r="E28" s="56" t="s">
        <v>60</v>
      </c>
      <c r="F28" s="60" t="n">
        <f aca="false">14*((7.85*6*1.5*6)+(1.5*6*3))</f>
        <v>6312.6</v>
      </c>
      <c r="G28" s="61" t="n">
        <v>18000</v>
      </c>
      <c r="H28" s="62" t="n">
        <f aca="false">G28*F28</f>
        <v>113626800</v>
      </c>
      <c r="I28" s="56" t="s">
        <v>86</v>
      </c>
      <c r="J28" s="53"/>
      <c r="K28" s="54"/>
      <c r="L28" s="54"/>
      <c r="M28" s="55"/>
      <c r="N28" s="54"/>
      <c r="O28" s="54"/>
    </row>
    <row r="29" s="70" customFormat="true" ht="15" hidden="false" customHeight="true" outlineLevel="0" collapsed="false">
      <c r="A29" s="64" t="s">
        <v>87</v>
      </c>
      <c r="B29" s="64"/>
      <c r="C29" s="64"/>
      <c r="D29" s="64"/>
      <c r="E29" s="64"/>
      <c r="F29" s="65" t="n">
        <f aca="false">SUM(F11:F28)</f>
        <v>52688.22</v>
      </c>
      <c r="G29" s="65"/>
      <c r="H29" s="66" t="n">
        <f aca="false">SUM(H11:H28)</f>
        <v>644329116</v>
      </c>
      <c r="I29" s="64"/>
      <c r="J29" s="67"/>
      <c r="K29" s="68"/>
      <c r="L29" s="67"/>
      <c r="M29" s="67"/>
      <c r="N29" s="69"/>
      <c r="O29" s="68"/>
    </row>
    <row r="30" s="2" customFormat="true" ht="14.25" hidden="false" customHeight="true" outlineLevel="0" collapsed="false">
      <c r="A30" s="71" t="s">
        <v>88</v>
      </c>
      <c r="B30" s="72"/>
      <c r="C30" s="72"/>
      <c r="D30" s="72"/>
      <c r="E30" s="72"/>
      <c r="F30" s="72"/>
      <c r="G30" s="72"/>
      <c r="H30" s="72"/>
      <c r="I30" s="73"/>
      <c r="K30" s="28"/>
      <c r="L30" s="28"/>
      <c r="M30" s="28"/>
      <c r="N30" s="74"/>
      <c r="O30" s="28"/>
    </row>
    <row r="31" s="77" customFormat="true" ht="12.95" hidden="false" customHeight="true" outlineLevel="0" collapsed="false">
      <c r="A31" s="75"/>
      <c r="B31" s="76" t="s">
        <v>89</v>
      </c>
      <c r="C31" s="76"/>
      <c r="D31" s="76"/>
      <c r="E31" s="76"/>
      <c r="F31" s="76"/>
      <c r="G31" s="76"/>
      <c r="H31" s="76"/>
      <c r="I31" s="76"/>
      <c r="K31" s="78"/>
      <c r="L31" s="78"/>
      <c r="M31" s="78"/>
      <c r="N31" s="79"/>
      <c r="O31" s="78"/>
    </row>
    <row r="32" s="77" customFormat="true" ht="12.95" hidden="false" customHeight="true" outlineLevel="0" collapsed="false">
      <c r="A32" s="75"/>
      <c r="B32" s="80" t="s">
        <v>90</v>
      </c>
      <c r="C32" s="81"/>
      <c r="D32" s="81"/>
      <c r="E32" s="81"/>
      <c r="F32" s="81"/>
      <c r="G32" s="81"/>
      <c r="H32" s="81"/>
      <c r="I32" s="82"/>
      <c r="K32" s="78"/>
      <c r="L32" s="78"/>
      <c r="M32" s="78"/>
      <c r="N32" s="79"/>
      <c r="O32" s="78"/>
    </row>
    <row r="33" s="77" customFormat="true" ht="12.95" hidden="false" customHeight="true" outlineLevel="0" collapsed="false">
      <c r="A33" s="75"/>
      <c r="B33" s="80" t="s">
        <v>91</v>
      </c>
      <c r="C33" s="81"/>
      <c r="D33" s="81"/>
      <c r="E33" s="81"/>
      <c r="F33" s="81"/>
      <c r="G33" s="81"/>
      <c r="H33" s="81"/>
      <c r="I33" s="82"/>
      <c r="K33" s="78"/>
      <c r="L33" s="78"/>
      <c r="M33" s="78"/>
      <c r="N33" s="79"/>
      <c r="O33" s="78"/>
    </row>
    <row r="34" s="77" customFormat="true" ht="12.95" hidden="false" customHeight="true" outlineLevel="0" collapsed="false">
      <c r="A34" s="75"/>
      <c r="B34" s="80" t="s">
        <v>92</v>
      </c>
      <c r="C34" s="81"/>
      <c r="D34" s="81"/>
      <c r="E34" s="81"/>
      <c r="F34" s="81"/>
      <c r="G34" s="81"/>
      <c r="H34" s="81"/>
      <c r="I34" s="82"/>
      <c r="N34" s="83"/>
    </row>
    <row r="35" s="77" customFormat="true" ht="12.95" hidden="false" customHeight="true" outlineLevel="0" collapsed="false">
      <c r="A35" s="75"/>
      <c r="B35" s="80" t="s">
        <v>93</v>
      </c>
      <c r="C35" s="81"/>
      <c r="D35" s="81"/>
      <c r="E35" s="81"/>
      <c r="F35" s="81"/>
      <c r="G35" s="81"/>
      <c r="H35" s="81"/>
      <c r="I35" s="82"/>
    </row>
    <row r="36" s="77" customFormat="true" ht="12.95" hidden="false" customHeight="true" outlineLevel="0" collapsed="false">
      <c r="A36" s="75"/>
      <c r="B36" s="80" t="s">
        <v>94</v>
      </c>
      <c r="C36" s="81"/>
      <c r="D36" s="81"/>
      <c r="E36" s="81"/>
      <c r="F36" s="81"/>
      <c r="G36" s="81"/>
      <c r="H36" s="81"/>
      <c r="I36" s="82"/>
      <c r="N36" s="83"/>
    </row>
    <row r="37" s="77" customFormat="true" ht="12.95" hidden="false" customHeight="true" outlineLevel="0" collapsed="false">
      <c r="A37" s="75"/>
      <c r="B37" s="80" t="s">
        <v>95</v>
      </c>
      <c r="C37" s="81"/>
      <c r="D37" s="81"/>
      <c r="E37" s="81"/>
      <c r="F37" s="81"/>
      <c r="G37" s="81"/>
      <c r="H37" s="81"/>
      <c r="I37" s="82"/>
    </row>
    <row r="38" s="77" customFormat="true" ht="12.75" hidden="false" customHeight="true" outlineLevel="0" collapsed="false">
      <c r="A38" s="75"/>
      <c r="B38" s="80" t="s">
        <v>96</v>
      </c>
      <c r="C38" s="81"/>
      <c r="D38" s="81"/>
      <c r="E38" s="81"/>
      <c r="F38" s="81"/>
      <c r="G38" s="81"/>
      <c r="H38" s="81"/>
      <c r="I38" s="82"/>
    </row>
    <row r="39" s="2" customFormat="true" ht="12" hidden="false" customHeight="true" outlineLevel="0" collapsed="false">
      <c r="A39" s="84"/>
      <c r="B39" s="85"/>
      <c r="C39" s="85"/>
      <c r="D39" s="85"/>
      <c r="E39" s="85"/>
      <c r="F39" s="85"/>
      <c r="G39" s="85"/>
      <c r="H39" s="86"/>
      <c r="I39" s="87"/>
      <c r="J39" s="88"/>
    </row>
    <row r="40" s="2" customFormat="true" ht="15" hidden="false" customHeight="true" outlineLevel="0" collapsed="false">
      <c r="A40" s="89"/>
      <c r="B40" s="72" t="s">
        <v>97</v>
      </c>
      <c r="C40" s="72"/>
      <c r="D40" s="72"/>
      <c r="E40" s="85"/>
      <c r="F40" s="72"/>
      <c r="G40" s="72"/>
      <c r="H40" s="90" t="s">
        <v>98</v>
      </c>
      <c r="I40" s="87"/>
      <c r="J40" s="88"/>
    </row>
    <row r="41" s="2" customFormat="true" ht="17.1" hidden="false" customHeight="true" outlineLevel="0" collapsed="false">
      <c r="A41" s="91"/>
      <c r="E41" s="51"/>
      <c r="H41" s="88"/>
      <c r="I41" s="92"/>
      <c r="J41" s="88"/>
    </row>
    <row r="42" s="93" customFormat="true" ht="15.75" hidden="false" customHeight="false" outlineLevel="0" collapsed="false">
      <c r="A42" s="33"/>
      <c r="E42" s="34"/>
      <c r="H42" s="35"/>
      <c r="I42" s="36"/>
      <c r="J42" s="37"/>
    </row>
  </sheetData>
  <mergeCells count="33">
    <mergeCell ref="A1:I1"/>
    <mergeCell ref="A2:I2"/>
    <mergeCell ref="A3:B3"/>
    <mergeCell ref="C3:D3"/>
    <mergeCell ref="E3:F3"/>
    <mergeCell ref="G3:I3"/>
    <mergeCell ref="A4:B4"/>
    <mergeCell ref="C4:D4"/>
    <mergeCell ref="E4:F4"/>
    <mergeCell ref="G4:I4"/>
    <mergeCell ref="A5:B5"/>
    <mergeCell ref="C5:D5"/>
    <mergeCell ref="E5:F5"/>
    <mergeCell ref="G5:I5"/>
    <mergeCell ref="A6:B6"/>
    <mergeCell ref="C6:D6"/>
    <mergeCell ref="E6:F6"/>
    <mergeCell ref="G6:I6"/>
    <mergeCell ref="A7:B7"/>
    <mergeCell ref="C7:D7"/>
    <mergeCell ref="E7:F7"/>
    <mergeCell ref="G7:I7"/>
    <mergeCell ref="A8:B8"/>
    <mergeCell ref="C8:D8"/>
    <mergeCell ref="E8:F8"/>
    <mergeCell ref="G8:I8"/>
    <mergeCell ref="A9:B9"/>
    <mergeCell ref="C9:D9"/>
    <mergeCell ref="E9:F9"/>
    <mergeCell ref="G9:I9"/>
    <mergeCell ref="A10:I10"/>
    <mergeCell ref="A29:E29"/>
    <mergeCell ref="B31:I31"/>
  </mergeCells>
  <hyperlinks>
    <hyperlink ref="G6" r:id="rId1" display="master.trungtinkimsteel@gmail.com"/>
  </hyperlinks>
  <printOptions headings="false" gridLines="false" gridLinesSet="true" horizontalCentered="false" verticalCentered="false"/>
  <pageMargins left="0.25" right="0" top="0.1" bottom="0" header="0.511805555555555" footer="0.511805555555555"/>
  <pageSetup paperSize="1" scale="91"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worksheet>
</file>

<file path=docProps/app.xml><?xml version="1.0" encoding="utf-8"?>
<Properties xmlns="http://schemas.openxmlformats.org/officeDocument/2006/extended-properties" xmlns:vt="http://schemas.openxmlformats.org/officeDocument/2006/docPropsVTypes">
  <Template/>
  <TotalTime>14</TotalTime>
  <Application>LibreOffice/6.3.0.4$Windows_X86_64 LibreOffice_project/057fc023c990d676a43019934386b85b21a9ee99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2014-08-19T06:20:01Z</dcterms:created>
  <dc:creator>Vaio</dc:creator>
  <dc:description/>
  <dc:language>en-US</dc:language>
  <cp:lastModifiedBy/>
  <dcterms:modified xsi:type="dcterms:W3CDTF">2026-04-14T10:37:46Z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ies>
</file>