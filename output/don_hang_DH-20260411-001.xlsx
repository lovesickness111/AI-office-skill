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820" windowHeight="15500" tabRatio="500" firstSheet="0" activeTab="0" autoFilterDateGrouping="1"/>
  </bookViews>
  <sheets>
    <sheet name="ĐƠN HÀNG" sheetId="1" state="visible" r:id="rId1"/>
    <sheet name="page 1 (2)" sheetId="2" state="hidden" r:id="rId2"/>
  </sheets>
  <externalReferences>
    <externalReference r:id="rId3"/>
    <externalReference r:id="rId4"/>
    <externalReference r:id="rId5"/>
  </externalReferences>
  <definedNames>
    <definedName name="CT_NX">[1]Nhập_xuất!$B$6:$B$101</definedName>
    <definedName name="DC">[1]Main!$A$2</definedName>
    <definedName name="HD">#REF!</definedName>
    <definedName name="HDM">#REF!</definedName>
    <definedName name="HTTT">'[2]NHAP LIEU'!$W$2:$W$4</definedName>
    <definedName name="KH">'[2]TÊN KH'!$B$3:$B$69</definedName>
    <definedName name="MA_CT152">#REF!</definedName>
    <definedName name="MA_HANG">'[2]Ma hang'!$B$3:$B$30</definedName>
    <definedName name="MA_HH152">'[2]NHAP LIEU'!$L$7:$L$250</definedName>
    <definedName name="MA_NX">[3]Nhập_xuất!$B$6:$B$101</definedName>
    <definedName name="MA_VT">#REF!</definedName>
    <definedName name="MAN_152">[1]Nhập_xuất!$S$6:$S$101</definedName>
    <definedName name="MAU_HD">#REF!</definedName>
    <definedName name="MAVT">[1]NVL!$B$10:$C$100</definedName>
    <definedName name="MAVT_152">#REF!</definedName>
    <definedName name="MAX_152">[1]Nhập_xuất!$T$6:$T$101</definedName>
    <definedName name="MH">'[2]Ma hang'!$B$3:$E$30</definedName>
    <definedName name="NHAP">'[2]NHAP LIEU'!$D$7:$V$250</definedName>
    <definedName name="NHAP_XT">#REF!</definedName>
    <definedName name="NX">[1]Nhập_xuất!$B$6:$AD$101</definedName>
    <definedName name="NXT">[1]NVL!$B$10:$P$100</definedName>
    <definedName name="NXT_152">#REF!</definedName>
    <definedName name="PHIEU_NX">'[2]NHAP LIEU'!$D$7:$D$250</definedName>
    <definedName name="SL_152">[1]Nhập_xuất!$P$6:$P$101</definedName>
    <definedName name="TEN">'[2]TÊN KH'!$B$3:$L$69</definedName>
    <definedName name="TEN_NPL">#REF!</definedName>
    <definedName name="TEN_TK152">#REF!</definedName>
    <definedName name="TEN_VT">#REF!</definedName>
    <definedName name="TH_152">[1]NVL!$B$10:$M$100</definedName>
    <definedName name="TK">#REF!</definedName>
    <definedName name="TKNVL">[1]Main!$P$3:$P$7</definedName>
    <definedName name="TT_152">[1]Nhập_xuất!$R$6:$R$101</definedName>
  </definedNames>
  <calcPr calcId="191029" fullCalcOnLoad="1" iterateDelta="0.0001"/>
</workbook>
</file>

<file path=xl/styles.xml><?xml version="1.0" encoding="utf-8"?>
<styleSheet xmlns="http://schemas.openxmlformats.org/spreadsheetml/2006/main">
  <numFmts count="5">
    <numFmt numFmtId="164" formatCode="_(* #,##0.00_);_(* \(#,##0.00\);_(* \-??_);_(@_)"/>
    <numFmt numFmtId="165" formatCode="[$-409]General"/>
    <numFmt numFmtId="166" formatCode="_(* #,##0_);_(* \(#,##0\);_(* \-??_);_(@_)"/>
    <numFmt numFmtId="167" formatCode="0.00_);\(0.00\)"/>
    <numFmt numFmtId="168" formatCode="[$-409]d\-mmm\-yy;@"/>
  </numFmts>
  <fonts count="31">
    <font>
      <name val="Calibri"/>
      <charset val="204"/>
      <family val="2"/>
      <color rgb="FF000000"/>
      <sz val="11"/>
    </font>
    <font>
      <name val="VNbook-Antiqua"/>
      <charset val="1"/>
      <color rgb="FF0000FF"/>
      <sz val="11"/>
      <u val="single"/>
    </font>
    <font>
      <name val="Arial"/>
      <charset val="1"/>
      <sz val="10"/>
    </font>
    <font>
      <name val="바탕체"/>
      <charset val="129"/>
      <family val="1"/>
      <sz val="11"/>
    </font>
    <font>
      <name val="Times New Roman"/>
      <charset val="1"/>
      <family val="1"/>
      <color rgb="FF000000"/>
      <sz val="12"/>
    </font>
    <font>
      <name val="Times New Roman"/>
      <charset val="1"/>
      <family val="1"/>
      <b val="1"/>
      <sz val="16"/>
    </font>
    <font>
      <name val="Times New Roman"/>
      <charset val="1"/>
      <family val="1"/>
      <b val="1"/>
      <sz val="12"/>
    </font>
    <font>
      <name val="Times New Roman"/>
      <charset val="1"/>
      <family val="1"/>
      <b val="1"/>
      <color rgb="FF000000"/>
      <sz val="12"/>
    </font>
    <font>
      <name val="Times New Roman"/>
      <charset val="1"/>
      <family val="1"/>
      <sz val="12"/>
    </font>
    <font>
      <name val="Times New Roman"/>
      <charset val="1"/>
      <family val="1"/>
      <i val="1"/>
      <sz val="12"/>
    </font>
    <font>
      <name val="Times New Roman"/>
      <charset val="1"/>
      <family val="1"/>
      <color rgb="FFFFFFFF"/>
      <sz val="12"/>
    </font>
    <font>
      <name val="Times New Roman"/>
      <charset val="1"/>
      <family val="1"/>
      <b val="1"/>
      <i val="1"/>
      <color rgb="FF000000"/>
      <sz val="12"/>
    </font>
    <font>
      <name val="Times New Roman"/>
      <charset val="1"/>
      <family val="1"/>
      <i val="1"/>
      <color rgb="FF000000"/>
      <sz val="12"/>
    </font>
    <font>
      <name val="Calibri"/>
      <charset val="204"/>
      <family val="2"/>
      <color rgb="FF000000"/>
      <sz val="9"/>
    </font>
    <font>
      <name val="Calibri"/>
      <charset val="204"/>
      <family val="2"/>
      <color rgb="FF000000"/>
      <sz val="10"/>
    </font>
    <font>
      <name val="Calibri"/>
      <charset val="204"/>
      <family val="2"/>
      <b val="1"/>
      <color rgb="FF000000"/>
      <sz val="9"/>
    </font>
    <font>
      <name val="Times New Roman"/>
      <charset val="1"/>
      <family val="1"/>
      <sz val="16"/>
    </font>
    <font>
      <name val="Times New Roman"/>
      <charset val="1"/>
      <family val="1"/>
      <sz val="11"/>
    </font>
    <font>
      <name val="Calibri"/>
      <charset val="204"/>
      <family val="2"/>
      <color rgb="FF0000FF"/>
      <sz val="11"/>
      <u val="single"/>
    </font>
    <font>
      <name val="Calibri"/>
      <charset val="204"/>
      <family val="2"/>
      <sz val="11"/>
      <u val="single"/>
    </font>
    <font>
      <name val="Times New Roman"/>
      <charset val="1"/>
      <family val="1"/>
      <sz val="10"/>
    </font>
    <font>
      <name val="Times New Roman"/>
      <charset val="1"/>
      <family val="1"/>
      <sz val="11"/>
      <u val="single"/>
    </font>
    <font>
      <name val="Times New Roman"/>
      <charset val="1"/>
      <family val="1"/>
      <color rgb="FF000000"/>
      <sz val="10"/>
    </font>
    <font>
      <name val="Calibri"/>
      <charset val="1"/>
      <family val="2"/>
      <b val="1"/>
      <color rgb="FF000000"/>
      <sz val="10"/>
    </font>
    <font>
      <name val="Times New Roman"/>
      <charset val="1"/>
      <family val="1"/>
      <color rgb="FF000000"/>
      <sz val="11"/>
    </font>
    <font>
      <name val="Times New Roman"/>
      <charset val="1"/>
      <family val="1"/>
      <b val="1"/>
      <sz val="11"/>
    </font>
    <font>
      <name val="Cambria"/>
      <charset val="1"/>
      <family val="1"/>
      <b val="1"/>
      <color rgb="FF000000"/>
      <sz val="10"/>
    </font>
    <font>
      <name val="Times New Roman"/>
      <charset val="1"/>
      <family val="1"/>
      <sz val="9"/>
    </font>
    <font>
      <name val="Times New Roman"/>
      <charset val="1"/>
      <family val="1"/>
      <color rgb="FF000000"/>
      <sz val="9"/>
    </font>
    <font>
      <name val="Calibri"/>
      <charset val="1"/>
      <family val="2"/>
      <color rgb="FF000000"/>
      <sz val="12"/>
    </font>
    <font>
      <name val="Calibri"/>
      <charset val="204"/>
      <family val="2"/>
      <color rgb="FF000000"/>
      <sz val="11"/>
    </font>
  </fonts>
  <fills count="4">
    <fill>
      <patternFill/>
    </fill>
    <fill>
      <patternFill patternType="gray125"/>
    </fill>
    <fill>
      <patternFill patternType="solid">
        <fgColor rgb="FFFFFFFF"/>
        <bgColor rgb="FFFFFFCC"/>
      </patternFill>
    </fill>
    <fill>
      <patternFill patternType="solid">
        <fgColor rgb="FFD9D9D9"/>
        <bgColor rgb="FFC0C0C0"/>
      </patternFill>
    </fill>
  </fills>
  <borders count="11">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n">
        <color rgb="FF595959"/>
      </left>
      <right style="thin">
        <color rgb="FF595959"/>
      </right>
      <top style="thin">
        <color rgb="FF595959"/>
      </top>
      <bottom style="thin">
        <color rgb="FF595959"/>
      </bottom>
      <diagonal/>
    </border>
    <border>
      <left style="thin">
        <color rgb="FF595959"/>
      </left>
      <right style="thin">
        <color rgb="FF595959"/>
      </right>
      <top style="thin">
        <color rgb="FF595959"/>
      </top>
      <bottom/>
      <diagonal/>
    </border>
    <border>
      <left/>
      <right/>
      <top style="thin">
        <color rgb="FF595959"/>
      </top>
      <bottom/>
      <diagonal/>
    </border>
    <border>
      <left/>
      <right style="thin">
        <color rgb="FF595959"/>
      </right>
      <top style="thin">
        <color rgb="FF595959"/>
      </top>
      <bottom/>
      <diagonal/>
    </border>
    <border>
      <left/>
      <right/>
      <top style="thin">
        <color rgb="FF595959"/>
      </top>
      <bottom style="thin">
        <color rgb="FF595959"/>
      </bottom>
      <diagonal/>
    </border>
    <border>
      <left/>
      <right style="thin">
        <color rgb="FF595959"/>
      </right>
      <top style="thin">
        <color rgb="FF595959"/>
      </top>
      <bottom style="thin">
        <color rgb="FF595959"/>
      </bottom>
      <diagonal/>
    </border>
    <border>
      <left style="thin">
        <color rgb="00000000"/>
      </left>
      <right style="thin">
        <color rgb="00000000"/>
      </right>
      <top style="thin">
        <color rgb="00000000"/>
      </top>
      <bottom style="thin">
        <color rgb="00000000"/>
      </bottom>
    </border>
  </borders>
  <cellStyleXfs count="10">
    <xf numFmtId="0" fontId="30" fillId="0" borderId="0"/>
    <xf numFmtId="164" fontId="30" fillId="0" borderId="0"/>
    <xf numFmtId="0" fontId="18" fillId="0" borderId="0"/>
    <xf numFmtId="164" fontId="30" fillId="0" borderId="0"/>
    <xf numFmtId="164" fontId="30" fillId="0" borderId="0"/>
    <xf numFmtId="0" fontId="1" fillId="0" borderId="0"/>
    <xf numFmtId="168" fontId="2" fillId="0" borderId="0"/>
    <xf numFmtId="0" fontId="3" fillId="0" borderId="0" applyAlignment="1">
      <alignment vertical="center"/>
    </xf>
    <xf numFmtId="0" fontId="30" fillId="0" borderId="0"/>
    <xf numFmtId="0" fontId="2" fillId="0" borderId="0"/>
  </cellStyleXfs>
  <cellXfs count="109">
    <xf numFmtId="0" fontId="0" fillId="0" borderId="0" pivotButton="0" quotePrefix="0" xfId="0"/>
    <xf numFmtId="0" fontId="11" fillId="0" borderId="0" applyAlignment="1" pivotButton="0" quotePrefix="0" xfId="0">
      <alignment horizontal="left" vertical="center"/>
    </xf>
    <xf numFmtId="3" fontId="8" fillId="0" borderId="0" applyAlignment="1" pivotButton="0" quotePrefix="0" xfId="0">
      <alignment horizontal="right" vertical="center" wrapText="1"/>
    </xf>
    <xf numFmtId="0" fontId="6" fillId="0" borderId="0" applyAlignment="1" pivotButton="0" quotePrefix="0" xfId="0">
      <alignment horizontal="left" vertical="center" wrapText="1"/>
    </xf>
    <xf numFmtId="3" fontId="8" fillId="2" borderId="0" applyAlignment="1" pivotButton="0" quotePrefix="0" xfId="0">
      <alignment horizontal="right" vertical="center" wrapText="1"/>
    </xf>
    <xf numFmtId="3" fontId="4" fillId="2" borderId="0" applyAlignment="1" pivotButton="0" quotePrefix="0" xfId="0">
      <alignment horizontal="right" vertical="center" wrapText="1"/>
    </xf>
    <xf numFmtId="0" fontId="7" fillId="2" borderId="0" applyAlignment="1" pivotButton="0" quotePrefix="0" xfId="0">
      <alignment horizontal="left" vertical="center" wrapText="1"/>
    </xf>
    <xf numFmtId="3" fontId="4" fillId="2" borderId="3" applyAlignment="1" pivotButton="0" quotePrefix="0" xfId="0">
      <alignment horizontal="right" vertical="center" wrapText="1"/>
    </xf>
    <xf numFmtId="0" fontId="7" fillId="2" borderId="3" applyAlignment="1" pivotButton="0" quotePrefix="0" xfId="0">
      <alignment horizontal="left" vertical="center" wrapText="1"/>
    </xf>
    <xf numFmtId="0" fontId="6" fillId="0" borderId="0" applyAlignment="1" pivotButton="0" quotePrefix="0" xfId="0">
      <alignment horizontal="center" vertical="center" wrapText="1"/>
    </xf>
    <xf numFmtId="0" fontId="9" fillId="0" borderId="0" applyAlignment="1" pivotButton="0" quotePrefix="0" xfId="0">
      <alignment horizontal="left" vertical="center" wrapText="1"/>
    </xf>
    <xf numFmtId="0" fontId="8" fillId="0" borderId="0" applyAlignment="1" pivotButton="0" quotePrefix="0" xfId="0">
      <alignment horizontal="center" vertical="center"/>
    </xf>
    <xf numFmtId="0" fontId="8" fillId="0" borderId="1" applyAlignment="1" pivotButton="0" quotePrefix="0" xfId="0">
      <alignment horizontal="center" vertical="center"/>
    </xf>
    <xf numFmtId="0" fontId="7" fillId="0" borderId="0" applyAlignment="1" pivotButton="0" quotePrefix="0" xfId="0">
      <alignment horizontal="left" vertical="center"/>
    </xf>
    <xf numFmtId="0" fontId="5" fillId="2" borderId="0" applyAlignment="1" pivotButton="0" quotePrefix="0" xfId="0">
      <alignment horizontal="center" vertical="center" wrapText="1"/>
    </xf>
    <xf numFmtId="0" fontId="4" fillId="0" borderId="0" applyAlignment="1" pivotButton="0" quotePrefix="0" xfId="0">
      <alignment horizontal="center" vertical="center"/>
    </xf>
    <xf numFmtId="0" fontId="4" fillId="0" borderId="0" pivotButton="0" quotePrefix="0" xfId="0"/>
    <xf numFmtId="0" fontId="4" fillId="0" borderId="0" applyAlignment="1" pivotButton="0" quotePrefix="0" xfId="0">
      <alignment horizontal="center"/>
    </xf>
    <xf numFmtId="0" fontId="6" fillId="2" borderId="0" applyAlignment="1" pivotButton="0" quotePrefix="0" xfId="0">
      <alignment horizontal="center" vertical="center" wrapText="1"/>
    </xf>
    <xf numFmtId="0" fontId="6" fillId="0" borderId="0" applyAlignment="1" pivotButton="0" quotePrefix="0" xfId="0">
      <alignment horizontal="left" vertical="center"/>
    </xf>
    <xf numFmtId="0" fontId="7" fillId="3" borderId="2" applyAlignment="1" pivotButton="0" quotePrefix="0" xfId="0">
      <alignment horizontal="center" vertical="center" wrapText="1"/>
    </xf>
    <xf numFmtId="3" fontId="7" fillId="3" borderId="2" applyAlignment="1" pivotButton="0" quotePrefix="0" xfId="0">
      <alignment horizontal="center" vertical="center" wrapText="1"/>
    </xf>
    <xf numFmtId="0" fontId="10" fillId="0" borderId="0" pivotButton="0" quotePrefix="0" xfId="0"/>
    <xf numFmtId="0" fontId="8" fillId="2" borderId="2" applyAlignment="1" pivotButton="0" quotePrefix="0" xfId="0">
      <alignment horizontal="center" vertical="center" wrapText="1"/>
    </xf>
    <xf numFmtId="0" fontId="4" fillId="2" borderId="2" applyAlignment="1" pivotButton="0" quotePrefix="0" xfId="0">
      <alignment horizontal="center" vertical="center" wrapText="1"/>
    </xf>
    <xf numFmtId="3" fontId="8" fillId="2" borderId="2" applyAlignment="1" pivotButton="0" quotePrefix="0" xfId="0">
      <alignment horizontal="right" vertical="center" wrapText="1"/>
    </xf>
    <xf numFmtId="0" fontId="11" fillId="0" borderId="0" applyAlignment="1" pivotButton="0" quotePrefix="0" xfId="0">
      <alignment horizontal="left" vertical="center"/>
    </xf>
    <xf numFmtId="0" fontId="12" fillId="0" borderId="0" applyAlignment="1" pivotButton="0" quotePrefix="0" xfId="0">
      <alignment horizontal="left" vertical="center"/>
    </xf>
    <xf numFmtId="0" fontId="4" fillId="0" borderId="0" pivotButton="0" quotePrefix="0" xfId="0"/>
    <xf numFmtId="0" fontId="4" fillId="0" borderId="0" applyAlignment="1" pivotButton="0" quotePrefix="0" xfId="0">
      <alignment horizontal="center"/>
    </xf>
    <xf numFmtId="0" fontId="7" fillId="0" borderId="0" applyAlignment="1" pivotButton="0" quotePrefix="0" xfId="0">
      <alignment horizontal="center" vertical="center"/>
    </xf>
    <xf numFmtId="0" fontId="4" fillId="0" borderId="0" applyAlignment="1" pivotButton="0" quotePrefix="0" xfId="0">
      <alignment horizontal="center" vertical="center"/>
    </xf>
    <xf numFmtId="0" fontId="4" fillId="0" borderId="0" applyAlignment="1" pivotButton="0" quotePrefix="0" xfId="0">
      <alignment horizontal="left" vertical="center"/>
    </xf>
    <xf numFmtId="0" fontId="13" fillId="0" borderId="0" applyAlignment="1" pivotButton="0" quotePrefix="0" xfId="0">
      <alignment horizontal="center" vertical="center"/>
    </xf>
    <xf numFmtId="0" fontId="14" fillId="0" borderId="0" pivotButton="0" quotePrefix="0" xfId="0"/>
    <xf numFmtId="0" fontId="15" fillId="0" borderId="0" pivotButton="0" quotePrefix="0" xfId="0"/>
    <xf numFmtId="0" fontId="14" fillId="0" borderId="0" applyAlignment="1" pivotButton="0" quotePrefix="0" xfId="0">
      <alignment horizontal="left"/>
    </xf>
    <xf numFmtId="0" fontId="13" fillId="0" borderId="0" pivotButton="0" quotePrefix="0" xfId="0"/>
    <xf numFmtId="0" fontId="0" fillId="0" borderId="0" pivotButton="0" quotePrefix="0" xfId="0"/>
    <xf numFmtId="0" fontId="0" fillId="0" borderId="0" applyAlignment="1" pivotButton="0" quotePrefix="0" xfId="0">
      <alignment horizontal="left"/>
    </xf>
    <xf numFmtId="0" fontId="22" fillId="0" borderId="0" pivotButton="0" quotePrefix="0" xfId="0"/>
    <xf numFmtId="0" fontId="23" fillId="0" borderId="0" pivotButton="0" quotePrefix="0" xfId="0"/>
    <xf numFmtId="0" fontId="14" fillId="0" borderId="0" pivotButton="0" quotePrefix="0" xfId="0"/>
    <xf numFmtId="0" fontId="14" fillId="0" borderId="0" applyAlignment="1" pivotButton="0" quotePrefix="0" xfId="0">
      <alignment wrapText="1"/>
    </xf>
    <xf numFmtId="0" fontId="17" fillId="0" borderId="4" applyAlignment="1" pivotButton="0" quotePrefix="0" xfId="0">
      <alignment horizontal="center" vertical="center" wrapText="1"/>
    </xf>
    <xf numFmtId="0" fontId="17" fillId="0" borderId="5" applyAlignment="1" pivotButton="0" quotePrefix="0" xfId="0">
      <alignment horizontal="left" vertical="center" wrapText="1"/>
    </xf>
    <xf numFmtId="0" fontId="17" fillId="0" borderId="4" applyAlignment="1" pivotButton="0" quotePrefix="0" xfId="0">
      <alignment horizontal="left" vertical="center" wrapText="1"/>
    </xf>
    <xf numFmtId="0" fontId="24" fillId="0" borderId="4" applyAlignment="1" pivotButton="0" quotePrefix="0" xfId="0">
      <alignment horizontal="center" vertical="center"/>
    </xf>
    <xf numFmtId="164" fontId="17" fillId="0" borderId="4" applyAlignment="1" pivotButton="0" quotePrefix="0" xfId="1">
      <alignment horizontal="center" vertical="center" wrapText="1"/>
    </xf>
    <xf numFmtId="3" fontId="17" fillId="0" borderId="4" applyAlignment="1" pivotButton="0" quotePrefix="0" xfId="0">
      <alignment horizontal="center" vertical="center" wrapText="1"/>
    </xf>
    <xf numFmtId="164" fontId="17" fillId="0" borderId="4" applyAlignment="1" pivotButton="0" quotePrefix="0" xfId="0">
      <alignment horizontal="center" vertical="center" wrapText="1"/>
    </xf>
    <xf numFmtId="165" fontId="17" fillId="2" borderId="2" applyAlignment="1" pivotButton="0" quotePrefix="0" xfId="6">
      <alignment horizontal="center" vertical="center"/>
    </xf>
    <xf numFmtId="166" fontId="25" fillId="0" borderId="4" applyAlignment="1" pivotButton="0" quotePrefix="0" xfId="1">
      <alignment horizontal="center"/>
    </xf>
    <xf numFmtId="166" fontId="25" fillId="0" borderId="4" applyAlignment="1" pivotButton="0" quotePrefix="0" xfId="1">
      <alignment horizontal="left"/>
    </xf>
    <xf numFmtId="166" fontId="25" fillId="0" borderId="4" applyAlignment="1" pivotButton="0" quotePrefix="0" xfId="1">
      <alignment horizontal="left" vertical="center" wrapText="1"/>
    </xf>
    <xf numFmtId="166" fontId="26" fillId="0" borderId="0" pivotButton="0" quotePrefix="0" xfId="0"/>
    <xf numFmtId="0" fontId="26" fillId="0" borderId="0" pivotButton="0" quotePrefix="0" xfId="0"/>
    <xf numFmtId="166" fontId="25" fillId="0" borderId="0" applyAlignment="1" pivotButton="0" quotePrefix="0" xfId="1">
      <alignment horizontal="left"/>
    </xf>
    <xf numFmtId="0" fontId="26" fillId="0" borderId="0" pivotButton="0" quotePrefix="0" xfId="0"/>
    <xf numFmtId="0" fontId="8" fillId="0" borderId="0" applyAlignment="1" pivotButton="0" quotePrefix="0" xfId="0">
      <alignment horizontal="left" vertical="center"/>
    </xf>
    <xf numFmtId="0" fontId="8" fillId="0" borderId="0" pivotButton="0" quotePrefix="0" xfId="0"/>
    <xf numFmtId="0" fontId="8" fillId="0" borderId="0" applyAlignment="1" pivotButton="0" quotePrefix="0" xfId="0">
      <alignment horizontal="left"/>
    </xf>
    <xf numFmtId="164" fontId="4" fillId="0" borderId="0" pivotButton="0" quotePrefix="0" xfId="0"/>
    <xf numFmtId="0" fontId="17" fillId="0" borderId="0" applyAlignment="1" pivotButton="0" quotePrefix="0" xfId="0">
      <alignment horizontal="center" vertical="center"/>
    </xf>
    <xf numFmtId="0" fontId="24" fillId="0" borderId="0" pivotButton="0" quotePrefix="0" xfId="0"/>
    <xf numFmtId="0" fontId="24" fillId="0" borderId="0" pivotButton="0" quotePrefix="0" xfId="0"/>
    <xf numFmtId="167" fontId="24" fillId="0" borderId="0" pivotButton="0" quotePrefix="0" xfId="0"/>
    <xf numFmtId="0" fontId="17" fillId="0" borderId="0" applyAlignment="1" pivotButton="0" quotePrefix="0" xfId="0">
      <alignment vertical="center"/>
    </xf>
    <xf numFmtId="0" fontId="17" fillId="0" borderId="0" pivotButton="0" quotePrefix="0" xfId="0"/>
    <xf numFmtId="0" fontId="17" fillId="0" borderId="0" applyAlignment="1" pivotButton="0" quotePrefix="0" xfId="0">
      <alignment horizontal="left"/>
    </xf>
    <xf numFmtId="164" fontId="24" fillId="0" borderId="0" pivotButton="0" quotePrefix="0" xfId="0"/>
    <xf numFmtId="0" fontId="20" fillId="0" borderId="0" applyAlignment="1" pivotButton="0" quotePrefix="0" xfId="0">
      <alignment horizontal="center" vertical="center"/>
    </xf>
    <xf numFmtId="0" fontId="20" fillId="0" borderId="0" pivotButton="0" quotePrefix="0" xfId="0"/>
    <xf numFmtId="0" fontId="27" fillId="0" borderId="0" pivotButton="0" quotePrefix="0" xfId="0"/>
    <xf numFmtId="0" fontId="20" fillId="0" borderId="0" applyAlignment="1" pivotButton="0" quotePrefix="0" xfId="0">
      <alignment horizontal="left"/>
    </xf>
    <xf numFmtId="0" fontId="28" fillId="0" borderId="0" pivotButton="0" quotePrefix="0" xfId="0"/>
    <xf numFmtId="0" fontId="27" fillId="0" borderId="0" applyAlignment="1" pivotButton="0" quotePrefix="0" xfId="0">
      <alignment horizontal="center" vertical="center"/>
    </xf>
    <xf numFmtId="0" fontId="8" fillId="0" borderId="0" applyAlignment="1" pivotButton="0" quotePrefix="0" xfId="0">
      <alignment horizontal="center" vertical="center"/>
    </xf>
    <xf numFmtId="0" fontId="28" fillId="0" borderId="0" applyAlignment="1" pivotButton="0" quotePrefix="0" xfId="0">
      <alignment horizontal="center" vertical="center"/>
    </xf>
    <xf numFmtId="0" fontId="22" fillId="0" borderId="0" applyAlignment="1" pivotButton="0" quotePrefix="0" xfId="0">
      <alignment horizontal="left"/>
    </xf>
    <xf numFmtId="0" fontId="29" fillId="0" borderId="0" pivotButton="0" quotePrefix="0" xfId="0"/>
    <xf numFmtId="4" fontId="8" fillId="0" borderId="0" applyAlignment="1" pivotButton="0" quotePrefix="0" xfId="0">
      <alignment horizontal="right" vertical="center" wrapText="1"/>
    </xf>
    <xf numFmtId="0" fontId="6" fillId="0" borderId="4" applyAlignment="1" pivotButton="0" quotePrefix="0" xfId="0">
      <alignment horizontal="center" vertical="top" wrapText="1"/>
    </xf>
    <xf numFmtId="0" fontId="16" fillId="0" borderId="4" applyAlignment="1" pivotButton="0" quotePrefix="0" xfId="0">
      <alignment horizontal="center" vertical="center" wrapText="1"/>
    </xf>
    <xf numFmtId="0" fontId="17" fillId="0" borderId="4" applyAlignment="1" pivotButton="0" quotePrefix="0" xfId="0">
      <alignment horizontal="left" vertical="top"/>
    </xf>
    <xf numFmtId="0" fontId="17" fillId="0" borderId="4" applyAlignment="1" pivotButton="0" quotePrefix="0" xfId="0">
      <alignment horizontal="center" vertical="top"/>
    </xf>
    <xf numFmtId="49" fontId="17" fillId="0" borderId="4" applyAlignment="1" pivotButton="0" quotePrefix="0" xfId="0">
      <alignment horizontal="center" vertical="top"/>
    </xf>
    <xf numFmtId="0" fontId="19" fillId="0" borderId="4" applyAlignment="1" pivotButton="0" quotePrefix="0" xfId="2">
      <alignment horizontal="center" vertical="top"/>
    </xf>
    <xf numFmtId="0" fontId="18" fillId="0" borderId="4" applyAlignment="1" pivotButton="0" quotePrefix="0" xfId="2">
      <alignment horizontal="center" vertical="top"/>
    </xf>
    <xf numFmtId="0" fontId="20" fillId="0" borderId="4" applyAlignment="1" pivotButton="0" quotePrefix="0" xfId="0">
      <alignment horizontal="left" vertical="top"/>
    </xf>
    <xf numFmtId="0" fontId="20" fillId="0" borderId="4" applyAlignment="1" pivotButton="0" quotePrefix="0" xfId="0">
      <alignment horizontal="center" vertical="top"/>
    </xf>
    <xf numFmtId="49" fontId="20" fillId="0" borderId="4" applyAlignment="1" pivotButton="0" quotePrefix="0" xfId="0">
      <alignment horizontal="center" vertical="top"/>
    </xf>
    <xf numFmtId="0" fontId="21" fillId="0" borderId="4" applyAlignment="1" pivotButton="0" quotePrefix="0" xfId="0">
      <alignment horizontal="center" vertical="top"/>
    </xf>
    <xf numFmtId="0" fontId="17" fillId="0" borderId="4" applyAlignment="1" pivotButton="0" quotePrefix="0" xfId="0">
      <alignment horizontal="left" vertical="top" wrapText="1"/>
    </xf>
    <xf numFmtId="166" fontId="25" fillId="0" borderId="4" applyAlignment="1" pivotButton="0" quotePrefix="0" xfId="1">
      <alignment horizontal="center"/>
    </xf>
    <xf numFmtId="0" fontId="17" fillId="0" borderId="0" applyAlignment="1" pivotButton="0" quotePrefix="0" xfId="0">
      <alignment horizontal="left" vertical="center" wrapText="1"/>
    </xf>
    <xf numFmtId="0" fontId="0" fillId="0" borderId="1" pivotButton="0" quotePrefix="0" xfId="0"/>
    <xf numFmtId="0" fontId="7" fillId="3" borderId="10" applyAlignment="1" pivotButton="0" quotePrefix="0" xfId="0">
      <alignment horizontal="center" vertical="center" wrapText="1"/>
    </xf>
    <xf numFmtId="3" fontId="7" fillId="3" borderId="10" applyAlignment="1" pivotButton="0" quotePrefix="0" xfId="0">
      <alignment horizontal="center" vertical="center" wrapText="1"/>
    </xf>
    <xf numFmtId="0" fontId="0" fillId="0" borderId="3" pivotButton="0" quotePrefix="0" xfId="0"/>
    <xf numFmtId="0" fontId="0" fillId="0" borderId="8" pivotButton="0" quotePrefix="0" xfId="0"/>
    <xf numFmtId="0" fontId="0" fillId="0" borderId="9" pivotButton="0" quotePrefix="0" xfId="0"/>
    <xf numFmtId="165" fontId="17" fillId="2" borderId="2" applyAlignment="1" pivotButton="0" quotePrefix="0" xfId="6">
      <alignment horizontal="center" vertical="center"/>
    </xf>
    <xf numFmtId="166" fontId="25" fillId="0" borderId="4" applyAlignment="1" pivotButton="0" quotePrefix="0" xfId="1">
      <alignment horizontal="center"/>
    </xf>
    <xf numFmtId="166" fontId="25" fillId="0" borderId="4" applyAlignment="1" pivotButton="0" quotePrefix="0" xfId="1">
      <alignment horizontal="left"/>
    </xf>
    <xf numFmtId="166" fontId="25" fillId="0" borderId="4" applyAlignment="1" pivotButton="0" quotePrefix="0" xfId="1">
      <alignment horizontal="left" vertical="center" wrapText="1"/>
    </xf>
    <xf numFmtId="166" fontId="26" fillId="0" borderId="0" pivotButton="0" quotePrefix="0" xfId="0"/>
    <xf numFmtId="166" fontId="25" fillId="0" borderId="0" applyAlignment="1" pivotButton="0" quotePrefix="0" xfId="1">
      <alignment horizontal="left"/>
    </xf>
    <xf numFmtId="167" fontId="24" fillId="0" borderId="0" pivotButton="0" quotePrefix="0" xfId="0"/>
  </cellXfs>
  <cellStyles count="10">
    <cellStyle name="Normal" xfId="0" builtinId="0"/>
    <cellStyle name="Comma" xfId="1" builtinId="3"/>
    <cellStyle name="Hyperlink" xfId="2" builtinId="8"/>
    <cellStyle name="Comma 2" xfId="3"/>
    <cellStyle name="Comma 3" xfId="4"/>
    <cellStyle name="Hyperlink 2" xfId="5"/>
    <cellStyle name="Normal 2" xfId="6"/>
    <cellStyle name="Normal 3" xfId="7"/>
    <cellStyle name="Normal 4" xfId="8"/>
    <cellStyle name="Normal 5" xfId="9"/>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externalLink" Target="/xl/externalLinks/externalLink1.xml" Id="rId3" /><Relationship Type="http://schemas.openxmlformats.org/officeDocument/2006/relationships/externalLink" Target="/xl/externalLinks/externalLink2.xml" Id="rId4" /><Relationship Type="http://schemas.openxmlformats.org/officeDocument/2006/relationships/externalLink" Target="/xl/externalLinks/externalLink3.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col>
      <colOff>913320</colOff>
      <row>0</row>
      <rowOff>789480</rowOff>
    </to>
    <pic>
      <nvPicPr>
        <cNvPr id="2" name="Picture 1"/>
        <cNvPicPr/>
      </nvPicPr>
      <blipFill>
        <a:blip r:embed="rId1"/>
        <a:stretch>
          <a:fillRect/>
        </a:stretch>
      </blipFill>
      <spPr>
        <a:xfrm>
          <a:off x="0" y="0"/>
          <a:ext cx="1256040" cy="789480"/>
        </a:xfrm>
        <a:prstGeom prst="rect">
          <avLst/>
        </a:prstGeom>
        <a:ln>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F:\Users\hoangvanhe\Documents\D:\TRUONG%20YEN\EXCEL\KE%20TOAN%20-%20QD%2015%20(1.61).xls" TargetMode="External" Id="rId1" /></Relationships>
</file>

<file path=xl/externalLinks/_rels/externalLink2.xml.rels><Relationships xmlns="http://schemas.openxmlformats.org/package/2006/relationships"><Relationship Type="http://schemas.openxmlformats.org/officeDocument/2006/relationships/externalLinkPath" Target="file:///F:\Users\hoangvanhe\Documents\D:\KETOAN\hoadon\Mau%20Hoa%20don.xls" TargetMode="External" Id="rId1" /></Relationships>
</file>

<file path=xl/externalLinks/_rels/externalLink3.xml.rels><Relationships xmlns="http://schemas.openxmlformats.org/package/2006/relationships"><Relationship Type="http://schemas.openxmlformats.org/officeDocument/2006/relationships/externalLinkPath" Target="file:///F:\Users\hoangvanhe\Documents\D:\EXCEL\KE%20TOAN%20-%20QD%2015%20(1.61).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Nhập_xuất"/>
      <sheetName val="Main"/>
      <sheetName val="NVL"/>
    </sheetNames>
    <sheetDataSet>
      <sheetData sheetId="0"/>
      <sheetData sheetId="1"/>
      <sheetData sheetId="2"/>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NHAP LIEU"/>
      <sheetName val="TÊN KH"/>
      <sheetName val="Ma hang"/>
    </sheetNames>
    <sheetDataSet>
      <sheetData sheetId="0"/>
      <sheetData sheetId="1"/>
      <sheetData sheetId="2"/>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Nhập_xuất"/>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hyperlink" Target="mailto:master.trungtinkimsteel@gmail.com" TargetMode="External" Id="rId1" /><Relationship Type="http://schemas.openxmlformats.org/officeDocument/2006/relationships/drawing" Target="/xl/drawings/drawing1.xml" Id="rId2" /></Relationships>
</file>

<file path=xl/worksheets/sheet1.xml><?xml version="1.0" encoding="utf-8"?>
<worksheet xmlns="http://schemas.openxmlformats.org/spreadsheetml/2006/main">
  <sheetPr>
    <outlinePr summaryBelow="1" summaryRight="1"/>
    <pageSetUpPr/>
  </sheetPr>
  <dimension ref="A1:G34"/>
  <sheetViews>
    <sheetView showGridLines="0" tabSelected="1" zoomScaleNormal="100" workbookViewId="0">
      <selection activeCell="A6" sqref="A6:H6"/>
    </sheetView>
  </sheetViews>
  <sheetFormatPr baseColWidth="8" defaultColWidth="8.90625" defaultRowHeight="15.5"/>
  <cols>
    <col width="8" customWidth="1" style="31" min="1" max="1"/>
    <col width="27.08984375" customWidth="1" style="28" min="2" max="2"/>
    <col width="31.26953125" customWidth="1" style="28" min="3" max="3"/>
    <col width="12.54296875" customWidth="1" style="28" min="4" max="4"/>
    <col width="12.453125" customWidth="1" style="28" min="5" max="5"/>
    <col width="17.81640625" customWidth="1" style="29" min="6" max="6"/>
    <col width="23.26953125" customWidth="1" style="29" min="7" max="7"/>
    <col width="8.81640625" customWidth="1" style="28" min="8" max="1025"/>
  </cols>
  <sheetData>
    <row r="1" ht="15.4" customHeight="1" s="38">
      <c r="A1" s="14" t="inlineStr">
        <is>
          <t>ĐƠN HÀNG</t>
        </is>
      </c>
    </row>
    <row r="2"/>
    <row r="3">
      <c r="A3" s="18" t="n"/>
      <c r="B3" s="18" t="n"/>
      <c r="C3" s="18" t="n"/>
      <c r="D3" s="18" t="n"/>
      <c r="E3" s="18" t="n"/>
      <c r="F3" s="18" t="n"/>
      <c r="G3" s="18" t="n"/>
    </row>
    <row r="4">
      <c r="A4" s="13" t="inlineStr">
        <is>
          <t>Khách hàng: Công ty cổ phần MISA</t>
        </is>
      </c>
      <c r="E4" s="13" t="inlineStr">
        <is>
          <t>Ngày đặt hàng: 11/04/2026</t>
        </is>
      </c>
    </row>
    <row r="5">
      <c r="A5" s="13" t="inlineStr">
        <is>
          <t xml:space="preserve">Mã số thuế: </t>
        </is>
      </c>
      <c r="E5" s="13" t="inlineStr">
        <is>
          <t>Số đơn hàng: DH-20260411-001</t>
        </is>
      </c>
    </row>
    <row r="6">
      <c r="A6" s="13" t="inlineStr">
        <is>
          <t xml:space="preserve">Địa chỉ hóa đơn: </t>
        </is>
      </c>
    </row>
    <row r="7" ht="6.75" customHeight="1" s="38">
      <c r="A7" s="12" t="n"/>
      <c r="B7" s="96" t="n"/>
      <c r="C7" s="96" t="n"/>
      <c r="D7" s="96" t="n"/>
      <c r="E7" s="96" t="n"/>
      <c r="F7" s="96" t="n"/>
      <c r="G7" s="96" t="n"/>
    </row>
    <row r="8" ht="7.15" customHeight="1" s="38">
      <c r="A8" s="77" t="n"/>
    </row>
    <row r="9">
      <c r="A9" s="13" t="inlineStr">
        <is>
          <t>Người nhận hàng: Công ty cổ phần MISA</t>
        </is>
      </c>
      <c r="E9" s="13" t="inlineStr">
        <is>
          <t xml:space="preserve">SĐT người nhận: </t>
        </is>
      </c>
    </row>
    <row r="10">
      <c r="A10" s="13" t="inlineStr">
        <is>
          <t xml:space="preserve">Địa chỉ giao hàng: </t>
        </is>
      </c>
    </row>
    <row r="11">
      <c r="A11" s="19" t="n"/>
      <c r="B11" s="19" t="n"/>
      <c r="C11" s="19" t="n"/>
      <c r="D11" s="19" t="n"/>
      <c r="E11" s="19" t="n"/>
      <c r="F11" s="19" t="n"/>
      <c r="G11" s="19" t="n"/>
    </row>
    <row r="12" ht="40.9" customHeight="1" s="38">
      <c r="A12" s="10" t="inlineStr">
        <is>
          <t>Lời đầu tiên, xin trân trọng cảm ơn quý khách hàng đã lựa chọn sản phẩm của công ty chúng tôi. Chúng tôi xin gửi đến quý khách hàng thông tin chi tiết của đơn hàng như sau:</t>
        </is>
      </c>
    </row>
    <row r="13" customFormat="1" s="22">
      <c r="A13" s="20" t="inlineStr">
        <is>
          <t xml:space="preserve">STT </t>
        </is>
      </c>
      <c r="B13" s="20" t="inlineStr">
        <is>
          <t>ẢNH SẢN PHẨM</t>
        </is>
      </c>
      <c r="C13" s="20" t="inlineStr">
        <is>
          <t>TÊN SẢN PHẨM</t>
        </is>
      </c>
      <c r="D13" s="20" t="inlineStr">
        <is>
          <t xml:space="preserve">ĐVT    </t>
        </is>
      </c>
      <c r="E13" s="20" t="inlineStr">
        <is>
          <t>SL</t>
        </is>
      </c>
      <c r="F13" s="21" t="inlineStr">
        <is>
          <t>ĐƠN GIÁ</t>
        </is>
      </c>
      <c r="G13" s="21" t="inlineStr">
        <is>
          <t xml:space="preserve">THÀNH TIỀN </t>
        </is>
      </c>
    </row>
    <row r="14" ht="105" customHeight="1" s="38">
      <c r="A14" s="97" t="n">
        <v>1</v>
      </c>
      <c r="B14" s="97" t="n"/>
      <c r="C14" s="97" t="inlineStr">
        <is>
          <t>Chuột Full-len</t>
        </is>
      </c>
      <c r="D14" s="97" t="inlineStr">
        <is>
          <t>Cái</t>
        </is>
      </c>
      <c r="E14" s="98" t="n">
        <v>1</v>
      </c>
      <c r="F14" s="98" t="n">
        <v>160000</v>
      </c>
      <c r="G14" s="98">
        <f>E14*F14</f>
        <v/>
      </c>
    </row>
    <row r="15" ht="105" customHeight="1" s="38">
      <c r="A15" s="97" t="n">
        <v>2</v>
      </c>
      <c r="B15" s="97" t="n"/>
      <c r="C15" s="97" t="inlineStr">
        <is>
          <t>Màn hình laptop</t>
        </is>
      </c>
      <c r="D15" s="97" t="inlineStr">
        <is>
          <t>Cái</t>
        </is>
      </c>
      <c r="E15" s="98" t="n">
        <v>1</v>
      </c>
      <c r="F15" s="98" t="n">
        <v>5000000</v>
      </c>
      <c r="G15" s="98">
        <f>E15*F15</f>
        <v/>
      </c>
    </row>
    <row r="16" ht="17.9" customHeight="1" s="38">
      <c r="A16" s="23" t="n"/>
      <c r="B16" s="23" t="n"/>
      <c r="C16" s="23" t="n"/>
      <c r="D16" s="24" t="n"/>
      <c r="E16" s="25" t="n"/>
      <c r="F16" s="25" t="n"/>
      <c r="G16" s="25" t="n"/>
    </row>
    <row r="17" ht="17.9" customHeight="1" s="38">
      <c r="A17" s="23" t="n"/>
      <c r="B17" s="23" t="n"/>
      <c r="C17" s="23" t="n"/>
      <c r="D17" s="24" t="n"/>
      <c r="E17" s="25" t="n"/>
      <c r="F17" s="25" t="n"/>
      <c r="G17" s="25" t="n"/>
    </row>
    <row r="18" ht="17.9" customHeight="1" s="38">
      <c r="A18" s="9" t="n"/>
      <c r="D18" s="8" t="inlineStr">
        <is>
          <t>Tổng thành tiền:</t>
        </is>
      </c>
      <c r="E18" s="99" t="n"/>
      <c r="F18" s="7">
        <f>SUM(G14:G15)</f>
        <v/>
      </c>
      <c r="G18" s="99" t="n"/>
    </row>
    <row r="19" ht="17.9" customHeight="1" s="38">
      <c r="D19" s="6" t="inlineStr">
        <is>
          <t>Tiền chiết khấu:</t>
        </is>
      </c>
      <c r="F19" s="5" t="n">
        <v>0</v>
      </c>
    </row>
    <row r="20">
      <c r="D20" s="6" t="inlineStr">
        <is>
          <t>Thuế GTGT:</t>
        </is>
      </c>
      <c r="F20" s="4" t="n">
        <v>0</v>
      </c>
    </row>
    <row r="21">
      <c r="D21" s="3" t="inlineStr">
        <is>
          <t>Tổng tiền thanh toán:</t>
        </is>
      </c>
      <c r="F21" s="2">
        <f>F18-F19-F20</f>
        <v/>
      </c>
    </row>
    <row r="22">
      <c r="A22" s="26" t="inlineStr">
        <is>
          <t>Số tiền viết bằng chữ: Một trăm ba mươi ba nghìn đồng</t>
        </is>
      </c>
    </row>
    <row r="23">
      <c r="A23" s="26" t="n"/>
      <c r="B23" s="26" t="n"/>
      <c r="C23" s="26" t="n"/>
      <c r="D23" s="26" t="n"/>
      <c r="E23" s="26" t="n"/>
      <c r="F23" s="81" t="n"/>
    </row>
    <row r="24">
      <c r="A24" s="27" t="n"/>
      <c r="B24" s="28" t="n"/>
      <c r="C24" s="28" t="n"/>
      <c r="D24" s="28" t="n"/>
      <c r="E24" s="28" t="n"/>
      <c r="F24" s="29" t="n"/>
      <c r="G24" s="29" t="n"/>
    </row>
    <row r="25">
      <c r="A25" s="27" t="n"/>
      <c r="B25" s="30" t="inlineStr">
        <is>
          <t>Người bán</t>
        </is>
      </c>
      <c r="C25" s="28" t="n"/>
      <c r="D25" s="28" t="n"/>
      <c r="E25" s="31" t="n"/>
      <c r="F25" s="30" t="inlineStr">
        <is>
          <t>Giám đốc</t>
        </is>
      </c>
      <c r="G25" s="29" t="n"/>
    </row>
    <row r="26">
      <c r="A26" s="27" t="n"/>
      <c r="B26" s="31" t="inlineStr">
        <is>
          <t>(Ký, họ tên)</t>
        </is>
      </c>
      <c r="C26" s="32" t="n"/>
      <c r="D26" s="32" t="n"/>
      <c r="E26" s="32" t="n"/>
      <c r="F26" s="31" t="inlineStr">
        <is>
          <t>(Ký, họ tên, đóng dấu)</t>
        </is>
      </c>
      <c r="G26" s="32" t="n"/>
    </row>
    <row r="27">
      <c r="A27" s="27" t="n"/>
      <c r="B27" s="32" t="n"/>
      <c r="C27" s="32" t="n"/>
      <c r="D27" s="32" t="n"/>
      <c r="E27" s="32" t="n"/>
      <c r="F27" s="32" t="n"/>
      <c r="G27" s="32" t="n"/>
    </row>
    <row r="28">
      <c r="A28" s="27" t="n"/>
      <c r="B28" s="32" t="n"/>
      <c r="C28" s="32" t="n"/>
      <c r="D28" s="32" t="n"/>
      <c r="E28" s="32" t="n"/>
      <c r="F28" s="32" t="n"/>
      <c r="G28" s="32" t="n"/>
    </row>
    <row r="29">
      <c r="A29" s="27" t="n"/>
      <c r="B29" s="32" t="n"/>
      <c r="C29" s="32" t="n"/>
      <c r="D29" s="32" t="n"/>
      <c r="E29" s="32" t="n"/>
      <c r="F29" s="32" t="n"/>
      <c r="G29" s="32" t="n"/>
    </row>
    <row r="30">
      <c r="A30" s="27" t="n"/>
      <c r="B30" s="32" t="n"/>
      <c r="C30" s="32" t="n"/>
      <c r="D30" s="32" t="n"/>
      <c r="E30" s="32" t="n"/>
      <c r="F30" s="32" t="n"/>
      <c r="G30" s="32" t="n"/>
    </row>
    <row r="31">
      <c r="A31" s="27" t="n"/>
      <c r="B31" s="32" t="n"/>
      <c r="C31" s="32" t="n"/>
      <c r="D31" s="32" t="n"/>
      <c r="E31" s="32" t="n"/>
      <c r="F31" s="32" t="n"/>
      <c r="G31" s="32" t="n"/>
    </row>
    <row r="32">
      <c r="A32" s="27" t="n"/>
      <c r="B32" s="32" t="n"/>
      <c r="C32" s="32" t="n"/>
      <c r="D32" s="32" t="n"/>
      <c r="E32" s="32" t="n"/>
      <c r="F32" s="32" t="n"/>
      <c r="G32" s="32" t="n"/>
    </row>
    <row r="33">
      <c r="A33" s="27" t="n"/>
      <c r="B33" s="32" t="n"/>
      <c r="C33" s="32" t="n"/>
      <c r="D33" s="32" t="n"/>
      <c r="E33" s="32" t="n"/>
      <c r="F33" s="32" t="n"/>
      <c r="G33" s="32" t="n"/>
    </row>
    <row r="34">
      <c r="A34" s="27" t="n"/>
      <c r="B34" s="28" t="n"/>
      <c r="C34" s="28" t="n"/>
      <c r="D34" s="28" t="n"/>
      <c r="E34" s="28" t="n"/>
      <c r="F34" s="29" t="n"/>
      <c r="G34" s="29" t="n"/>
    </row>
  </sheetData>
  <mergeCells count="23">
    <mergeCell ref="A5:D5"/>
    <mergeCell ref="D20:E20"/>
    <mergeCell ref="A1:G2"/>
    <mergeCell ref="A8:G8"/>
    <mergeCell ref="D19:E19"/>
    <mergeCell ref="A4:D4"/>
    <mergeCell ref="A22:G22"/>
    <mergeCell ref="F19:G19"/>
    <mergeCell ref="E9:G9"/>
    <mergeCell ref="A10:G10"/>
    <mergeCell ref="D21:E21"/>
    <mergeCell ref="F21:G21"/>
    <mergeCell ref="A9:D9"/>
    <mergeCell ref="F20:G20"/>
    <mergeCell ref="F18:G18"/>
    <mergeCell ref="A6:G6"/>
    <mergeCell ref="F23:G23"/>
    <mergeCell ref="A7:G7"/>
    <mergeCell ref="D18:E18"/>
    <mergeCell ref="E5:G5"/>
    <mergeCell ref="A18:C21"/>
    <mergeCell ref="A12:G12"/>
    <mergeCell ref="E4:G4"/>
  </mergeCells>
  <pageMargins left="0.25" right="0.25" top="0.75" bottom="0.75" header="0.511805555555555" footer="0.511805555555555"/>
  <pageSetup orientation="portrait" scale="75" firstPageNumber="0" horizontalDpi="300" verticalDpi="300"/>
</worksheet>
</file>

<file path=xl/worksheets/sheet2.xml><?xml version="1.0" encoding="utf-8"?>
<worksheet xmlns="http://schemas.openxmlformats.org/spreadsheetml/2006/main">
  <sheetPr>
    <outlinePr summaryBelow="1" summaryRight="1"/>
    <pageSetUpPr/>
  </sheetPr>
  <dimension ref="A1:O42"/>
  <sheetViews>
    <sheetView topLeftCell="A3" zoomScaleNormal="100" workbookViewId="0">
      <selection activeCell="N18" sqref="N18"/>
    </sheetView>
  </sheetViews>
  <sheetFormatPr baseColWidth="8" defaultColWidth="8.90625" defaultRowHeight="14.5"/>
  <cols>
    <col width="4.81640625" customWidth="1" style="33" min="1" max="1"/>
    <col width="14.453125" customWidth="1" style="38" min="2" max="2"/>
    <col width="22.453125" customWidth="1" style="38" min="3" max="3"/>
    <col width="15.1796875" customWidth="1" style="38" min="4" max="4"/>
    <col width="5.453125" customWidth="1" style="42" min="5" max="5"/>
    <col width="11.7265625" customWidth="1" style="38" min="6" max="6"/>
    <col width="9.453125" customWidth="1" style="38" min="7" max="7"/>
    <col width="15.453125" customWidth="1" style="35" min="8" max="8"/>
    <col width="11.08984375" customWidth="1" style="36" min="9" max="9"/>
    <col width="11.7265625" customWidth="1" style="37" min="10" max="10"/>
    <col width="10.08984375" customWidth="1" style="38" min="11" max="11"/>
    <col width="13.7265625" customWidth="1" style="38" min="12" max="13"/>
    <col width="16.453125" customWidth="1" style="38" min="14" max="14"/>
  </cols>
  <sheetData>
    <row r="1" ht="63" customHeight="1" s="38">
      <c r="A1" s="82" t="inlineStr">
        <is>
          <t xml:space="preserve">               CÔNG TY TNHH TM SẮT THÉP TRUNG TÍN KIM
         ĐC: 105,TA16,P.THỚI AN,QUẬN 12,TP.HCM
  ĐT:08.66841294      Fax :083.5978798
 MST: 0311620711</t>
        </is>
      </c>
      <c r="B1" s="100" t="n"/>
      <c r="C1" s="100" t="n"/>
      <c r="D1" s="100" t="n"/>
      <c r="E1" s="100" t="n"/>
      <c r="F1" s="100" t="n"/>
      <c r="G1" s="100" t="n"/>
      <c r="H1" s="100" t="n"/>
      <c r="I1" s="101" t="n"/>
    </row>
    <row r="2" ht="23.25" customHeight="1" s="38">
      <c r="A2" s="83" t="inlineStr">
        <is>
          <t>BẢNG BÁO GIÁ-QUOTATION(DSVN-THN150702-002)</t>
        </is>
      </c>
      <c r="B2" s="100" t="n"/>
      <c r="C2" s="100" t="n"/>
      <c r="D2" s="100" t="n"/>
      <c r="E2" s="100" t="n"/>
      <c r="F2" s="100" t="n"/>
      <c r="G2" s="100" t="n"/>
      <c r="H2" s="100" t="n"/>
      <c r="I2" s="101" t="n"/>
    </row>
    <row r="3" ht="15" customHeight="1" s="38">
      <c r="A3" s="84" t="inlineStr">
        <is>
          <t>To:</t>
        </is>
      </c>
      <c r="B3" s="101" t="n"/>
      <c r="C3" s="85" t="inlineStr">
        <is>
          <t>DOOSAN VINA</t>
        </is>
      </c>
      <c r="D3" s="101" t="n"/>
      <c r="E3" s="85" t="inlineStr">
        <is>
          <t>From:</t>
        </is>
      </c>
      <c r="F3" s="101" t="n"/>
      <c r="G3" s="84" t="inlineStr">
        <is>
          <t>TRUNG TIN KIM STEEL ltd.CO</t>
        </is>
      </c>
      <c r="H3" s="100" t="n"/>
      <c r="I3" s="101" t="n"/>
    </row>
    <row r="4" ht="15" customHeight="1" s="38">
      <c r="A4" s="84" t="inlineStr">
        <is>
          <t>Attn:</t>
        </is>
      </c>
      <c r="B4" s="101" t="n"/>
      <c r="C4" s="85" t="inlineStr">
        <is>
          <t>Ms.Quynh</t>
        </is>
      </c>
      <c r="D4" s="101" t="n"/>
      <c r="E4" s="85" t="inlineStr">
        <is>
          <t>Post:</t>
        </is>
      </c>
      <c r="F4" s="101" t="n"/>
      <c r="G4" s="85" t="inlineStr">
        <is>
          <t>Vy Tiến Toàn/Sales Manager</t>
        </is>
      </c>
      <c r="H4" s="100" t="n"/>
      <c r="I4" s="101" t="n"/>
    </row>
    <row r="5" ht="15" customFormat="1" customHeight="1" s="39">
      <c r="A5" s="84" t="inlineStr">
        <is>
          <t>Cell phone:</t>
        </is>
      </c>
      <c r="B5" s="101" t="n"/>
      <c r="C5" s="86" t="n"/>
      <c r="D5" s="101" t="n"/>
      <c r="E5" s="85" t="inlineStr">
        <is>
          <t>Cell phone:</t>
        </is>
      </c>
      <c r="F5" s="101" t="n"/>
      <c r="G5" s="85" t="inlineStr">
        <is>
          <t>0917318354/0909318354</t>
        </is>
      </c>
      <c r="H5" s="100" t="n"/>
      <c r="I5" s="101" t="n"/>
    </row>
    <row r="6" ht="15" customHeight="1" s="38">
      <c r="A6" s="84" t="inlineStr">
        <is>
          <t>Email:</t>
        </is>
      </c>
      <c r="B6" s="101" t="n"/>
      <c r="C6" s="87" t="n"/>
      <c r="D6" s="101" t="n"/>
      <c r="E6" s="85" t="inlineStr">
        <is>
          <t>Email:</t>
        </is>
      </c>
      <c r="F6" s="101" t="n"/>
      <c r="G6" s="88" t="inlineStr">
        <is>
          <t>master.trungtinkimsteel@gmail.com</t>
        </is>
      </c>
      <c r="H6" s="100" t="n"/>
      <c r="I6" s="101" t="n"/>
    </row>
    <row r="7" ht="15" customFormat="1" customHeight="1" s="42">
      <c r="A7" s="89" t="inlineStr">
        <is>
          <t>Add:</t>
        </is>
      </c>
      <c r="B7" s="101" t="n"/>
      <c r="C7" s="85" t="inlineStr">
        <is>
          <t>KCN DUNG QUẤT</t>
        </is>
      </c>
      <c r="D7" s="101" t="n"/>
      <c r="E7" s="90" t="inlineStr">
        <is>
          <t>Add:</t>
        </is>
      </c>
      <c r="F7" s="101" t="n"/>
      <c r="G7" s="89" t="inlineStr">
        <is>
          <t>105TA 16,P.THỚI AN,QUẬN 12,TP.HCM</t>
        </is>
      </c>
      <c r="H7" s="100" t="n"/>
      <c r="I7" s="101" t="n"/>
    </row>
    <row r="8" ht="15" customFormat="1" customHeight="1" s="42">
      <c r="A8" s="89" t="inlineStr">
        <is>
          <t>Tel/Fax</t>
        </is>
      </c>
      <c r="B8" s="101" t="n"/>
      <c r="C8" s="90" t="n"/>
      <c r="D8" s="101" t="n"/>
      <c r="E8" s="90" t="inlineStr">
        <is>
          <t>Tel/Fax</t>
        </is>
      </c>
      <c r="F8" s="101" t="n"/>
      <c r="G8" s="91" t="inlineStr">
        <is>
          <t>08.66841294</t>
        </is>
      </c>
      <c r="H8" s="100" t="n"/>
      <c r="I8" s="101" t="n"/>
    </row>
    <row r="9" ht="15" customFormat="1" customHeight="1" s="42">
      <c r="A9" s="89" t="inlineStr">
        <is>
          <t>Website:</t>
        </is>
      </c>
      <c r="B9" s="101" t="n"/>
      <c r="C9" s="90" t="n"/>
      <c r="D9" s="101" t="n"/>
      <c r="E9" s="90" t="inlineStr">
        <is>
          <t>Website:</t>
        </is>
      </c>
      <c r="F9" s="101" t="n"/>
      <c r="G9" s="92" t="inlineStr">
        <is>
          <t>trungtinkimsteel.com.vn</t>
        </is>
      </c>
      <c r="H9" s="100" t="n"/>
      <c r="I9" s="101" t="n"/>
      <c r="N9" s="40" t="n"/>
    </row>
    <row r="10" ht="45.75" customFormat="1" customHeight="1" s="42">
      <c r="A10" s="93" t="inlineStr">
        <is>
          <t>Công ty Thép Trung Tín Kim chuyên cung cấp, gia công các loại thép lá cán nguội, cán nóng dạng cuộn hoặc tấm (Cold rolled in sheet/coil, Hot rolled in sheet/coil), thép mạ điện (GA, GI), thép hình.Thép V(angel V),thép ống đen, kẽm, ống đúc Chúng tôi nhận gia công cắt tấm (cut-to-length), xả băng (slitt).</t>
        </is>
      </c>
      <c r="B10" s="100" t="n"/>
      <c r="C10" s="100" t="n"/>
      <c r="D10" s="100" t="n"/>
      <c r="E10" s="100" t="n"/>
      <c r="F10" s="100" t="n"/>
      <c r="G10" s="100" t="n"/>
      <c r="H10" s="100" t="n"/>
      <c r="I10" s="101" t="n"/>
      <c r="J10" s="41" t="n"/>
      <c r="K10" s="42" t="n"/>
      <c r="L10" s="42" t="n"/>
      <c r="M10" s="43" t="n"/>
      <c r="N10" s="42" t="n"/>
      <c r="O10" s="42" t="n"/>
    </row>
    <row r="11" ht="14.25" customFormat="1" customHeight="1" s="42">
      <c r="A11" s="44" t="inlineStr">
        <is>
          <t>STT</t>
        </is>
      </c>
      <c r="B11" s="45" t="inlineStr">
        <is>
          <t>Tên sản phẩm</t>
        </is>
      </c>
      <c r="C11" s="46" t="inlineStr">
        <is>
          <t>Quy Cách</t>
        </is>
      </c>
      <c r="D11" s="47" t="inlineStr">
        <is>
          <t>Chủng loại</t>
        </is>
      </c>
      <c r="E11" s="44" t="inlineStr">
        <is>
          <t>DVT</t>
        </is>
      </c>
      <c r="F11" s="48" t="inlineStr">
        <is>
          <t>Khối lượng</t>
        </is>
      </c>
      <c r="G11" s="49" t="inlineStr">
        <is>
          <t>Đơn giá</t>
        </is>
      </c>
      <c r="H11" s="50" t="inlineStr">
        <is>
          <t>Thành tiền</t>
        </is>
      </c>
      <c r="I11" s="44" t="inlineStr">
        <is>
          <t>Ghi chú</t>
        </is>
      </c>
      <c r="J11" s="41" t="n"/>
      <c r="K11" s="42" t="n"/>
      <c r="L11" s="42" t="n"/>
      <c r="M11" s="43" t="n"/>
      <c r="N11" s="42" t="n"/>
      <c r="O11" s="42" t="n"/>
    </row>
    <row r="12" ht="17.25" customFormat="1" customHeight="1" s="42">
      <c r="A12" s="44" t="n">
        <v>3</v>
      </c>
      <c r="B12" s="102" t="inlineStr">
        <is>
          <t>Angle SS400</t>
        </is>
      </c>
      <c r="C12" s="46" t="inlineStr">
        <is>
          <t>L75x75x6-12m</t>
        </is>
      </c>
      <c r="D12" s="47" t="inlineStr">
        <is>
          <t>Chinal mill maker</t>
        </is>
      </c>
      <c r="E12" s="44" t="inlineStr">
        <is>
          <t>kg</t>
        </is>
      </c>
      <c r="F12" s="48">
        <f>6.85*12</f>
        <v/>
      </c>
      <c r="G12" s="49" t="n">
        <v>11800</v>
      </c>
      <c r="H12" s="50">
        <f>G12*F12</f>
        <v/>
      </c>
      <c r="I12" s="44" t="inlineStr">
        <is>
          <t>1 pc</t>
        </is>
      </c>
      <c r="J12" s="41" t="n"/>
      <c r="K12" s="42" t="n"/>
      <c r="L12" s="42" t="n"/>
      <c r="M12" s="43" t="n"/>
      <c r="N12" s="42" t="n"/>
      <c r="O12" s="42" t="n"/>
    </row>
    <row r="13" ht="17.25" customFormat="1" customHeight="1" s="42">
      <c r="A13" s="44" t="n">
        <v>4</v>
      </c>
      <c r="B13" s="102" t="inlineStr">
        <is>
          <t>Angle SS400</t>
        </is>
      </c>
      <c r="C13" s="46" t="inlineStr">
        <is>
          <t>L75x75x9-12m</t>
        </is>
      </c>
      <c r="D13" s="47" t="inlineStr">
        <is>
          <t>Chinal mill maker</t>
        </is>
      </c>
      <c r="E13" s="44" t="inlineStr">
        <is>
          <t>kg</t>
        </is>
      </c>
      <c r="F13" s="48">
        <f>9.96*12*66</f>
        <v/>
      </c>
      <c r="G13" s="49" t="n">
        <v>12300</v>
      </c>
      <c r="H13" s="50">
        <f>G13*F13</f>
        <v/>
      </c>
      <c r="I13" s="44" t="inlineStr">
        <is>
          <t>66 pc</t>
        </is>
      </c>
      <c r="J13" s="41" t="n"/>
      <c r="K13" s="42" t="n"/>
      <c r="L13" s="42" t="n"/>
      <c r="M13" s="43" t="n"/>
      <c r="N13" s="42" t="n"/>
      <c r="O13" s="42" t="n"/>
    </row>
    <row r="14" ht="17.25" customFormat="1" customHeight="1" s="42">
      <c r="A14" s="44" t="n">
        <v>5</v>
      </c>
      <c r="B14" s="102" t="inlineStr">
        <is>
          <t>Angle SS400</t>
        </is>
      </c>
      <c r="C14" s="46" t="inlineStr">
        <is>
          <t>L90x90x7-12m</t>
        </is>
      </c>
      <c r="D14" s="47" t="inlineStr">
        <is>
          <t>Chinal mill maker</t>
        </is>
      </c>
      <c r="E14" s="44" t="inlineStr">
        <is>
          <t>kg</t>
        </is>
      </c>
      <c r="F14" s="48">
        <f>9.59*12*36</f>
        <v/>
      </c>
      <c r="G14" s="49" t="n">
        <v>11800</v>
      </c>
      <c r="H14" s="50">
        <f>G14*F14</f>
        <v/>
      </c>
      <c r="I14" s="44" t="inlineStr">
        <is>
          <t>36 pc</t>
        </is>
      </c>
      <c r="J14" s="41" t="n"/>
      <c r="K14" s="42" t="n"/>
      <c r="L14" s="42" t="n"/>
      <c r="M14" s="43" t="n"/>
      <c r="N14" s="42" t="n"/>
      <c r="O14" s="42" t="n"/>
    </row>
    <row r="15" ht="17.25" customFormat="1" customHeight="1" s="42">
      <c r="A15" s="44" t="n">
        <v>6</v>
      </c>
      <c r="B15" s="102" t="inlineStr">
        <is>
          <t>Angle SS400</t>
        </is>
      </c>
      <c r="C15" s="46" t="inlineStr">
        <is>
          <t>L100x100x7-12m</t>
        </is>
      </c>
      <c r="D15" s="47" t="inlineStr">
        <is>
          <t>Chinal mill maker</t>
        </is>
      </c>
      <c r="E15" s="44" t="inlineStr">
        <is>
          <t>kg</t>
        </is>
      </c>
      <c r="F15" s="48">
        <f>10.7*12*46</f>
        <v/>
      </c>
      <c r="G15" s="49" t="n">
        <v>11800</v>
      </c>
      <c r="H15" s="50">
        <f>G15*F15</f>
        <v/>
      </c>
      <c r="I15" s="44" t="inlineStr">
        <is>
          <t>46 pc</t>
        </is>
      </c>
      <c r="J15" s="41" t="n"/>
      <c r="K15" s="42" t="n"/>
      <c r="L15" s="42" t="n"/>
      <c r="M15" s="43" t="n"/>
      <c r="N15" s="42" t="n"/>
      <c r="O15" s="42" t="n"/>
    </row>
    <row r="16" ht="17.25" customFormat="1" customHeight="1" s="42">
      <c r="A16" s="44" t="n">
        <v>7</v>
      </c>
      <c r="B16" s="102" t="inlineStr">
        <is>
          <t>Angle SS400</t>
        </is>
      </c>
      <c r="C16" s="46" t="inlineStr">
        <is>
          <t>L100x100x10-12m</t>
        </is>
      </c>
      <c r="D16" s="47" t="inlineStr">
        <is>
          <t>Chinal mill maker</t>
        </is>
      </c>
      <c r="E16" s="44" t="inlineStr">
        <is>
          <t>kg</t>
        </is>
      </c>
      <c r="F16" s="48">
        <f>14.9*12*3</f>
        <v/>
      </c>
      <c r="G16" s="49" t="n">
        <v>11800</v>
      </c>
      <c r="H16" s="50">
        <f>G16*F16</f>
        <v/>
      </c>
      <c r="I16" s="44" t="inlineStr">
        <is>
          <t>3 pc</t>
        </is>
      </c>
      <c r="J16" s="41" t="n"/>
      <c r="K16" s="42" t="n"/>
      <c r="L16" s="42" t="n"/>
      <c r="M16" s="43" t="n"/>
      <c r="N16" s="42" t="n"/>
      <c r="O16" s="42" t="n"/>
    </row>
    <row r="17" ht="17.25" customFormat="1" customHeight="1" s="42">
      <c r="A17" s="44" t="n">
        <v>8</v>
      </c>
      <c r="B17" s="102" t="inlineStr">
        <is>
          <t>Angle SS400</t>
        </is>
      </c>
      <c r="C17" s="46" t="inlineStr">
        <is>
          <t>L130x130x9-12m</t>
        </is>
      </c>
      <c r="D17" s="47" t="inlineStr">
        <is>
          <t>Chinal mill maker</t>
        </is>
      </c>
      <c r="E17" s="44" t="inlineStr">
        <is>
          <t>kg</t>
        </is>
      </c>
      <c r="F17" s="48">
        <f>17.9*12*24</f>
        <v/>
      </c>
      <c r="G17" s="49" t="n">
        <v>12500</v>
      </c>
      <c r="H17" s="50">
        <f>G17*F17</f>
        <v/>
      </c>
      <c r="I17" s="44" t="inlineStr">
        <is>
          <t>24 pc</t>
        </is>
      </c>
      <c r="J17" s="41" t="n"/>
      <c r="K17" s="42" t="n"/>
      <c r="L17" s="42" t="n"/>
      <c r="M17" s="43" t="n"/>
      <c r="N17" s="42" t="n"/>
      <c r="O17" s="42" t="n"/>
    </row>
    <row r="18" ht="18" customFormat="1" customHeight="1" s="42">
      <c r="A18" s="44" t="n">
        <v>13</v>
      </c>
      <c r="B18" s="102" t="inlineStr">
        <is>
          <t>Angle SS400</t>
        </is>
      </c>
      <c r="C18" s="46" t="inlineStr">
        <is>
          <t>L75x75x9-12m</t>
        </is>
      </c>
      <c r="D18" s="47" t="inlineStr">
        <is>
          <t>Chinal mill maker</t>
        </is>
      </c>
      <c r="E18" s="44" t="inlineStr">
        <is>
          <t>kg</t>
        </is>
      </c>
      <c r="F18" s="48">
        <f>9.96*12*1</f>
        <v/>
      </c>
      <c r="G18" s="49" t="n">
        <v>12300</v>
      </c>
      <c r="H18" s="50">
        <f>G18*F18</f>
        <v/>
      </c>
      <c r="I18" s="44" t="inlineStr">
        <is>
          <t>1 pc</t>
        </is>
      </c>
      <c r="J18" s="41" t="n"/>
      <c r="K18" s="42" t="n"/>
      <c r="L18" s="42" t="n"/>
      <c r="M18" s="43" t="n"/>
      <c r="N18" s="42" t="n"/>
      <c r="O18" s="42" t="n"/>
    </row>
    <row r="19" ht="18" customFormat="1" customHeight="1" s="42">
      <c r="A19" s="44" t="n">
        <v>14</v>
      </c>
      <c r="B19" s="102" t="inlineStr">
        <is>
          <t>Angle SS400</t>
        </is>
      </c>
      <c r="C19" s="46" t="inlineStr">
        <is>
          <t>L75x75x9-12m</t>
        </is>
      </c>
      <c r="D19" s="47" t="inlineStr">
        <is>
          <t>Chinal mill maker</t>
        </is>
      </c>
      <c r="E19" s="44" t="inlineStr">
        <is>
          <t>kg</t>
        </is>
      </c>
      <c r="F19" s="48">
        <f>9.96*12*15</f>
        <v/>
      </c>
      <c r="G19" s="49" t="n">
        <v>12300</v>
      </c>
      <c r="H19" s="50">
        <f>G19*F19</f>
        <v/>
      </c>
      <c r="I19" s="44" t="inlineStr">
        <is>
          <t>15 pc</t>
        </is>
      </c>
      <c r="J19" s="41" t="n"/>
      <c r="K19" s="42" t="n"/>
      <c r="L19" s="42" t="n"/>
      <c r="M19" s="43" t="n"/>
      <c r="N19" s="42" t="n"/>
      <c r="O19" s="42" t="n"/>
    </row>
    <row r="20" ht="18" customFormat="1" customHeight="1" s="42">
      <c r="A20" s="44" t="n">
        <v>26</v>
      </c>
      <c r="B20" s="102" t="inlineStr">
        <is>
          <t>H-beam SS400</t>
        </is>
      </c>
      <c r="C20" s="46" t="inlineStr">
        <is>
          <t>H250x125x6x9-12m</t>
        </is>
      </c>
      <c r="D20" s="47" t="inlineStr">
        <is>
          <t>Chinal mill maker</t>
        </is>
      </c>
      <c r="E20" s="44" t="inlineStr">
        <is>
          <t>kg</t>
        </is>
      </c>
      <c r="F20" s="48">
        <f>29.6*12*18</f>
        <v/>
      </c>
      <c r="G20" s="49" t="n">
        <v>10700</v>
      </c>
      <c r="H20" s="50">
        <f>G20*F20</f>
        <v/>
      </c>
      <c r="I20" s="44" t="inlineStr">
        <is>
          <t>18 pc</t>
        </is>
      </c>
      <c r="J20" s="41" t="n"/>
      <c r="K20" s="42" t="n"/>
      <c r="L20" s="42" t="n"/>
      <c r="M20" s="43" t="n"/>
      <c r="N20" s="42" t="n"/>
      <c r="O20" s="42" t="n"/>
    </row>
    <row r="21" ht="18" customFormat="1" customHeight="1" s="42">
      <c r="A21" s="44" t="n">
        <v>30</v>
      </c>
      <c r="B21" s="102" t="inlineStr">
        <is>
          <t>H-beam SS400</t>
        </is>
      </c>
      <c r="C21" s="46" t="inlineStr">
        <is>
          <t>H300x300x10x15-12m</t>
        </is>
      </c>
      <c r="D21" s="47" t="inlineStr">
        <is>
          <t>Chinal mill maker</t>
        </is>
      </c>
      <c r="E21" s="44" t="inlineStr">
        <is>
          <t>kg</t>
        </is>
      </c>
      <c r="F21" s="48">
        <f>94*12*3</f>
        <v/>
      </c>
      <c r="G21" s="49" t="n">
        <v>11100</v>
      </c>
      <c r="H21" s="50">
        <f>G21*F21</f>
        <v/>
      </c>
      <c r="I21" s="44" t="inlineStr">
        <is>
          <t>3 pc</t>
        </is>
      </c>
      <c r="J21" s="41" t="n"/>
      <c r="K21" s="42" t="n"/>
      <c r="L21" s="42" t="n"/>
      <c r="M21" s="43" t="n"/>
      <c r="N21" s="42" t="n"/>
      <c r="O21" s="42" t="n"/>
    </row>
    <row r="22" ht="18" customFormat="1" customHeight="1" s="42">
      <c r="A22" s="44" t="n">
        <v>36</v>
      </c>
      <c r="B22" s="102" t="inlineStr">
        <is>
          <t>Plate SS400</t>
        </is>
      </c>
      <c r="C22" s="46" t="inlineStr">
        <is>
          <t>PL9x2000x6000</t>
        </is>
      </c>
      <c r="D22" s="47" t="inlineStr">
        <is>
          <t>Chinal mill maker</t>
        </is>
      </c>
      <c r="E22" s="44" t="inlineStr">
        <is>
          <t>kg</t>
        </is>
      </c>
      <c r="F22" s="48">
        <f>7.85*9*2*6</f>
        <v/>
      </c>
      <c r="G22" s="49" t="n">
        <v>10800</v>
      </c>
      <c r="H22" s="50">
        <f>G22*F22</f>
        <v/>
      </c>
      <c r="I22" s="44" t="inlineStr">
        <is>
          <t>1 pc</t>
        </is>
      </c>
      <c r="J22" s="41" t="n"/>
      <c r="K22" s="42" t="n"/>
      <c r="L22" s="42" t="n"/>
      <c r="M22" s="43" t="n"/>
      <c r="N22" s="42" t="n"/>
      <c r="O22" s="42" t="n"/>
    </row>
    <row r="23" ht="18" customFormat="1" customHeight="1" s="42">
      <c r="A23" s="44" t="n">
        <v>39</v>
      </c>
      <c r="B23" s="102" t="inlineStr">
        <is>
          <t>Plate SS400</t>
        </is>
      </c>
      <c r="C23" s="46" t="inlineStr">
        <is>
          <t>PL15x2000x6000</t>
        </is>
      </c>
      <c r="D23" s="47" t="inlineStr">
        <is>
          <t>Chinal mill maker</t>
        </is>
      </c>
      <c r="E23" s="44" t="inlineStr">
        <is>
          <t>kg</t>
        </is>
      </c>
      <c r="F23" s="48">
        <f>7.85*15*2*6</f>
        <v/>
      </c>
      <c r="G23" s="49" t="n">
        <v>11000</v>
      </c>
      <c r="H23" s="50">
        <f>G23*F23</f>
        <v/>
      </c>
      <c r="I23" s="44" t="inlineStr">
        <is>
          <t>1 pc</t>
        </is>
      </c>
      <c r="J23" s="41" t="n"/>
      <c r="K23" s="42" t="n"/>
      <c r="L23" s="42" t="n"/>
      <c r="M23" s="43" t="n"/>
      <c r="N23" s="42" t="n"/>
      <c r="O23" s="42" t="n"/>
    </row>
    <row r="24" ht="18" customFormat="1" customHeight="1" s="42">
      <c r="A24" s="44" t="n">
        <v>40</v>
      </c>
      <c r="B24" s="102" t="inlineStr">
        <is>
          <t>Plate SS400</t>
        </is>
      </c>
      <c r="C24" s="46" t="inlineStr">
        <is>
          <t>PL20x2000x6000</t>
        </is>
      </c>
      <c r="D24" s="47" t="inlineStr">
        <is>
          <t>Chinal mill maker</t>
        </is>
      </c>
      <c r="E24" s="44" t="inlineStr">
        <is>
          <t>kg</t>
        </is>
      </c>
      <c r="F24" s="48">
        <f>7.85*20*2*6</f>
        <v/>
      </c>
      <c r="G24" s="49" t="n">
        <v>10500</v>
      </c>
      <c r="H24" s="50">
        <f>G24*F24</f>
        <v/>
      </c>
      <c r="I24" s="44" t="inlineStr">
        <is>
          <t>1 pc</t>
        </is>
      </c>
      <c r="J24" s="41" t="n"/>
      <c r="K24" s="42" t="n"/>
      <c r="L24" s="42" t="n"/>
      <c r="M24" s="43" t="n"/>
      <c r="N24" s="42" t="n"/>
      <c r="O24" s="42" t="n"/>
    </row>
    <row r="25" ht="18" customFormat="1" customHeight="1" s="42">
      <c r="A25" s="44" t="n">
        <v>41</v>
      </c>
      <c r="B25" s="102" t="inlineStr">
        <is>
          <t>Plate SS400</t>
        </is>
      </c>
      <c r="C25" s="46" t="inlineStr">
        <is>
          <t>PL25x2000x6000</t>
        </is>
      </c>
      <c r="D25" s="47" t="inlineStr">
        <is>
          <t>Chinal mill maker</t>
        </is>
      </c>
      <c r="E25" s="44" t="inlineStr">
        <is>
          <t>kg</t>
        </is>
      </c>
      <c r="F25" s="48">
        <f>7.85*25*2*6</f>
        <v/>
      </c>
      <c r="G25" s="49" t="n">
        <v>10500</v>
      </c>
      <c r="H25" s="50">
        <f>G25*F25</f>
        <v/>
      </c>
      <c r="I25" s="44" t="inlineStr">
        <is>
          <t>1 pc</t>
        </is>
      </c>
      <c r="J25" s="41" t="n"/>
      <c r="K25" s="42" t="n"/>
      <c r="L25" s="42" t="n"/>
      <c r="M25" s="43" t="n"/>
      <c r="N25" s="42" t="n"/>
      <c r="O25" s="42" t="n"/>
    </row>
    <row r="26" ht="18" customFormat="1" customHeight="1" s="42">
      <c r="A26" s="44" t="n">
        <v>43</v>
      </c>
      <c r="B26" s="102" t="inlineStr">
        <is>
          <t>Plate SS400</t>
        </is>
      </c>
      <c r="C26" s="46" t="inlineStr">
        <is>
          <t>PL6x1500x6000</t>
        </is>
      </c>
      <c r="D26" s="47" t="inlineStr">
        <is>
          <t>Chinal mill maker</t>
        </is>
      </c>
      <c r="E26" s="44" t="inlineStr">
        <is>
          <t>kg</t>
        </is>
      </c>
      <c r="F26" s="48">
        <f>7.85*6*1.5*6*5</f>
        <v/>
      </c>
      <c r="G26" s="49" t="n">
        <v>9400</v>
      </c>
      <c r="H26" s="50">
        <f>G26*F26</f>
        <v/>
      </c>
      <c r="I26" s="44" t="inlineStr">
        <is>
          <t>5 pc</t>
        </is>
      </c>
      <c r="J26" s="41" t="n"/>
      <c r="K26" s="42" t="n"/>
      <c r="L26" s="42" t="n"/>
      <c r="M26" s="43" t="n"/>
      <c r="N26" s="42" t="n"/>
      <c r="O26" s="42" t="n"/>
    </row>
    <row r="27" ht="18" customFormat="1" customHeight="1" s="42">
      <c r="A27" s="44" t="n">
        <v>44</v>
      </c>
      <c r="B27" s="102" t="inlineStr">
        <is>
          <t>Plate SS400</t>
        </is>
      </c>
      <c r="C27" s="46" t="inlineStr">
        <is>
          <t>PL25x2000x6000</t>
        </is>
      </c>
      <c r="D27" s="47" t="inlineStr">
        <is>
          <t>Chinal mill maker</t>
        </is>
      </c>
      <c r="E27" s="44" t="inlineStr">
        <is>
          <t>kg</t>
        </is>
      </c>
      <c r="F27" s="48">
        <f>7.85*25*2*6</f>
        <v/>
      </c>
      <c r="G27" s="49" t="n">
        <v>10500</v>
      </c>
      <c r="H27" s="50">
        <f>G27*F27</f>
        <v/>
      </c>
      <c r="I27" s="44" t="inlineStr">
        <is>
          <t>1 pc</t>
        </is>
      </c>
      <c r="J27" s="41" t="n"/>
      <c r="K27" s="42" t="n"/>
      <c r="L27" s="42" t="n"/>
      <c r="M27" s="43" t="n"/>
      <c r="N27" s="42" t="n"/>
      <c r="O27" s="42" t="n"/>
    </row>
    <row r="28" ht="30.75" customFormat="1" customHeight="1" s="42">
      <c r="A28" s="44" t="n">
        <v>46</v>
      </c>
      <c r="B28" s="102" t="inlineStr">
        <is>
          <t>Checkered Plate</t>
        </is>
      </c>
      <c r="C28" s="46" t="inlineStr">
        <is>
          <t>CK'PL6x1500x6000 
HDG ASTM A153</t>
        </is>
      </c>
      <c r="D28" s="47" t="inlineStr">
        <is>
          <t>Chinal mill maker</t>
        </is>
      </c>
      <c r="E28" s="44" t="inlineStr">
        <is>
          <t>kg</t>
        </is>
      </c>
      <c r="F28" s="48">
        <f>14*((7.85*6*1.5*6)+(1.5*6*3))</f>
        <v/>
      </c>
      <c r="G28" s="49" t="n">
        <v>18000</v>
      </c>
      <c r="H28" s="50">
        <f>G28*F28</f>
        <v/>
      </c>
      <c r="I28" s="44" t="inlineStr">
        <is>
          <t>14 pc</t>
        </is>
      </c>
      <c r="J28" s="41" t="n"/>
      <c r="K28" s="42" t="n"/>
      <c r="L28" s="42" t="n"/>
      <c r="M28" s="43" t="n"/>
      <c r="N28" s="42" t="n"/>
      <c r="O28" s="42" t="n"/>
    </row>
    <row r="29" ht="15" customFormat="1" customHeight="1" s="58">
      <c r="A29" s="103" t="inlineStr">
        <is>
          <t>TỔNG CỘNG</t>
        </is>
      </c>
      <c r="B29" s="100" t="n"/>
      <c r="C29" s="100" t="n"/>
      <c r="D29" s="100" t="n"/>
      <c r="E29" s="101" t="n"/>
      <c r="F29" s="104">
        <f>SUM(F11:F28)</f>
        <v/>
      </c>
      <c r="G29" s="104" t="n"/>
      <c r="H29" s="105">
        <f>SUM(H11:H28)</f>
        <v/>
      </c>
      <c r="I29" s="103" t="n"/>
      <c r="J29" s="106" t="n"/>
      <c r="K29" s="58" t="n"/>
      <c r="L29" s="106" t="n"/>
      <c r="M29" s="106" t="n"/>
      <c r="N29" s="107" t="n"/>
      <c r="O29" s="58" t="n"/>
    </row>
    <row r="30" ht="14.25" customFormat="1" customHeight="1" s="28">
      <c r="A30" s="59" t="inlineStr">
        <is>
          <t>Các điều khoản thương mại:</t>
        </is>
      </c>
      <c r="B30" s="60" t="n"/>
      <c r="C30" s="60" t="n"/>
      <c r="D30" s="60" t="n"/>
      <c r="E30" s="60" t="n"/>
      <c r="F30" s="60" t="n"/>
      <c r="G30" s="60" t="n"/>
      <c r="H30" s="60" t="n"/>
      <c r="I30" s="61" t="n"/>
      <c r="K30" s="28" t="n"/>
      <c r="L30" s="28" t="n"/>
      <c r="M30" s="28" t="n"/>
      <c r="N30" s="62" t="n"/>
      <c r="O30" s="28" t="n"/>
    </row>
    <row r="31" ht="13" customFormat="1" customHeight="1" s="65">
      <c r="A31" s="63" t="n"/>
      <c r="B31" s="95" t="inlineStr">
        <is>
          <t>Phương thức thanh toán: Thanh toán 100% giá trị lô hàng sau khi nhận hàng đúng 30 ngày.</t>
        </is>
      </c>
      <c r="K31" s="65" t="n"/>
      <c r="L31" s="65" t="n"/>
      <c r="M31" s="65" t="n"/>
      <c r="N31" s="108" t="n"/>
      <c r="O31" s="65" t="n"/>
    </row>
    <row r="32" ht="13" customFormat="1" customHeight="1" s="65">
      <c r="A32" s="63" t="n"/>
      <c r="B32" s="67" t="inlineStr">
        <is>
          <t>Báo giá có giá trị trong ngày 14/07/2015(khi có thay đổi sẽ thông báo bằng fax).</t>
        </is>
      </c>
      <c r="C32" s="68" t="n"/>
      <c r="D32" s="68" t="n"/>
      <c r="E32" s="68" t="n"/>
      <c r="F32" s="68" t="n"/>
      <c r="G32" s="68" t="n"/>
      <c r="H32" s="68" t="n"/>
      <c r="I32" s="69" t="n"/>
      <c r="K32" s="65" t="n"/>
      <c r="L32" s="65" t="n"/>
      <c r="M32" s="65" t="n"/>
      <c r="N32" s="108" t="n"/>
      <c r="O32" s="65" t="n"/>
    </row>
    <row r="33" ht="13" customFormat="1" customHeight="1" s="65">
      <c r="A33" s="63" t="n"/>
      <c r="B33" s="67" t="inlineStr">
        <is>
          <t>Đơn giá chưa bao gồm thuế VAT và đã bao gồm phí vận chuyển.</t>
        </is>
      </c>
      <c r="C33" s="68" t="n"/>
      <c r="D33" s="68" t="n"/>
      <c r="E33" s="68" t="n"/>
      <c r="F33" s="68" t="n"/>
      <c r="G33" s="68" t="n"/>
      <c r="H33" s="68" t="n"/>
      <c r="I33" s="69" t="n"/>
      <c r="K33" s="65" t="n"/>
      <c r="L33" s="65" t="n"/>
      <c r="M33" s="65" t="n"/>
      <c r="N33" s="108" t="n"/>
      <c r="O33" s="65" t="n"/>
    </row>
    <row r="34" ht="13" customFormat="1" customHeight="1" s="65">
      <c r="A34" s="63" t="n"/>
      <c r="B34" s="67" t="inlineStr">
        <is>
          <t>Thời gian giao hàng : Giao hàng sau 6 ngày ngay khi có PO</t>
        </is>
      </c>
      <c r="C34" s="68" t="n"/>
      <c r="D34" s="68" t="n"/>
      <c r="E34" s="68" t="n"/>
      <c r="F34" s="68" t="n"/>
      <c r="G34" s="68" t="n"/>
      <c r="H34" s="68" t="n"/>
      <c r="I34" s="69" t="n"/>
      <c r="N34" s="70" t="n"/>
    </row>
    <row r="35" ht="13" customFormat="1" customHeight="1" s="65">
      <c r="A35" s="63" t="n"/>
      <c r="B35" s="67" t="inlineStr">
        <is>
          <t>Địa điểm nhận hàng: Tại kho bên DOOSAN VINA -KCN DUNG QUẤT.</t>
        </is>
      </c>
      <c r="C35" s="68" t="n"/>
      <c r="D35" s="68" t="n"/>
      <c r="E35" s="68" t="n"/>
      <c r="F35" s="68" t="n"/>
      <c r="G35" s="68" t="n"/>
      <c r="H35" s="68" t="n"/>
      <c r="I35" s="69" t="n"/>
    </row>
    <row r="36" ht="13" customFormat="1" customHeight="1" s="65">
      <c r="A36" s="63" t="n"/>
      <c r="B36" s="67" t="inlineStr">
        <is>
          <t>Vui lòng liên hệ Mr.Cương -0914579449 để biết thêm chi tiết</t>
        </is>
      </c>
      <c r="C36" s="68" t="n"/>
      <c r="D36" s="68" t="n"/>
      <c r="E36" s="68" t="n"/>
      <c r="F36" s="68" t="n"/>
      <c r="G36" s="68" t="n"/>
      <c r="H36" s="68" t="n"/>
      <c r="I36" s="69" t="n"/>
      <c r="N36" s="70" t="n"/>
    </row>
    <row r="37" ht="13" customFormat="1" customHeight="1" s="65">
      <c r="A37" s="63" t="n"/>
      <c r="B37" s="67" t="inlineStr">
        <is>
          <t>Mọi liên lạc bằng email hay fax có giá trị như bản chính</t>
        </is>
      </c>
      <c r="C37" s="68" t="n"/>
      <c r="D37" s="68" t="n"/>
      <c r="E37" s="68" t="n"/>
      <c r="F37" s="68" t="n"/>
      <c r="G37" s="68" t="n"/>
      <c r="H37" s="68" t="n"/>
      <c r="I37" s="69" t="n"/>
    </row>
    <row r="38" ht="12.75" customFormat="1" customHeight="1" s="65">
      <c r="A38" s="63" t="n"/>
      <c r="B38" s="67" t="inlineStr">
        <is>
          <t>Thanh toán vào số TK 131763489-NH ACB -PGD MAXIMART CỘNG HÒA 2</t>
        </is>
      </c>
      <c r="C38" s="68" t="n"/>
      <c r="D38" s="68" t="n"/>
      <c r="E38" s="68" t="n"/>
      <c r="F38" s="68" t="n"/>
      <c r="G38" s="68" t="n"/>
      <c r="H38" s="68" t="n"/>
      <c r="I38" s="69" t="n"/>
    </row>
    <row r="39" ht="12" customFormat="1" customHeight="1" s="28">
      <c r="A39" s="71" t="n"/>
      <c r="B39" s="72" t="n"/>
      <c r="C39" s="72" t="n"/>
      <c r="D39" s="72" t="n"/>
      <c r="E39" s="72" t="n"/>
      <c r="F39" s="72" t="n"/>
      <c r="G39" s="72" t="n"/>
      <c r="H39" s="73" t="n"/>
      <c r="I39" s="74" t="n"/>
      <c r="J39" s="75" t="n"/>
    </row>
    <row r="40" ht="15" customFormat="1" customHeight="1" s="28">
      <c r="A40" s="76" t="n"/>
      <c r="B40" s="60" t="inlineStr">
        <is>
          <t>Xác nhận của bên mua</t>
        </is>
      </c>
      <c r="C40" s="60" t="n"/>
      <c r="D40" s="60" t="n"/>
      <c r="E40" s="72" t="n"/>
      <c r="F40" s="60" t="n"/>
      <c r="G40" s="60" t="n"/>
      <c r="H40" s="77" t="inlineStr">
        <is>
          <t>Xác nhận của bên bán</t>
        </is>
      </c>
      <c r="I40" s="74" t="n"/>
      <c r="J40" s="75" t="n"/>
    </row>
    <row r="41" ht="17.15" customFormat="1" customHeight="1" s="28">
      <c r="A41" s="78" t="n"/>
      <c r="E41" s="40" t="n"/>
      <c r="H41" s="75" t="n"/>
      <c r="I41" s="79" t="n"/>
      <c r="J41" s="75" t="n"/>
    </row>
    <row r="42" ht="15.5" customFormat="1" customHeight="1" s="80">
      <c r="A42" s="33" t="n"/>
      <c r="E42" s="42" t="n"/>
      <c r="H42" s="35" t="n"/>
      <c r="I42" s="36" t="n"/>
      <c r="J42" s="37" t="n"/>
    </row>
  </sheetData>
  <mergeCells count="33">
    <mergeCell ref="C6:D6"/>
    <mergeCell ref="G6:I6"/>
    <mergeCell ref="C5:D5"/>
    <mergeCell ref="E5:F5"/>
    <mergeCell ref="G3:I3"/>
    <mergeCell ref="B31:I31"/>
    <mergeCell ref="E8:F8"/>
    <mergeCell ref="A6:B6"/>
    <mergeCell ref="C4:D4"/>
    <mergeCell ref="E4:F4"/>
    <mergeCell ref="A2:I2"/>
    <mergeCell ref="A7:B7"/>
    <mergeCell ref="G5:I5"/>
    <mergeCell ref="G4:I4"/>
    <mergeCell ref="C9:D9"/>
    <mergeCell ref="E9:F9"/>
    <mergeCell ref="A3:B3"/>
    <mergeCell ref="E6:F6"/>
    <mergeCell ref="A10:I10"/>
    <mergeCell ref="A5:B5"/>
    <mergeCell ref="G9:I9"/>
    <mergeCell ref="A8:B8"/>
    <mergeCell ref="C8:D8"/>
    <mergeCell ref="A4:B4"/>
    <mergeCell ref="A29:E29"/>
    <mergeCell ref="C7:D7"/>
    <mergeCell ref="E7:F7"/>
    <mergeCell ref="G7:I7"/>
    <mergeCell ref="A1:I1"/>
    <mergeCell ref="G8:I8"/>
    <mergeCell ref="A9:B9"/>
    <mergeCell ref="C3:D3"/>
    <mergeCell ref="E3:F3"/>
  </mergeCells>
  <hyperlinks>
    <hyperlink xmlns:r="http://schemas.openxmlformats.org/officeDocument/2006/relationships" ref="G6" r:id="rId1"/>
  </hyperlinks>
  <pageMargins left="0.25" right="0" top="0.1" bottom="0" header="0.511805555555555" footer="0.511805555555555"/>
  <pageSetup orientation="portrait" scale="91" firstPageNumber="0" horizontalDpi="300" verticalDpi="300"/>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Vaio</dc:creator>
  <dc:language>en-US</dc:language>
  <dcterms:created xsi:type="dcterms:W3CDTF">2014-08-19T06:20:01Z</dcterms:created>
  <dcterms:modified xsi:type="dcterms:W3CDTF">2026-04-15T16:49:54Z</dcterms:modified>
  <cp:lastModifiedBy>viet cuong</cp:lastModifiedBy>
  <cp:revision>2</cp:revision>
</cp:coreProperties>
</file>

<file path=docProps/custom.xml><?xml version="1.0" encoding="utf-8"?>
<Properties xmlns:vt="http://schemas.openxmlformats.org/officeDocument/2006/docPropsVTypes" xmlns="http://schemas.openxmlformats.org/officeDocument/2006/custom-properties">
  <property name="AppVersion" fmtid="{D5CDD505-2E9C-101B-9397-08002B2CF9AE}" pid="2">
    <vt:lpwstr>16.0300</vt:lpwstr>
  </property>
  <property name="DocSecurity" fmtid="{D5CDD505-2E9C-101B-9397-08002B2CF9AE}" pid="3">
    <vt:i4>0</vt:i4>
  </property>
</Properties>
</file>